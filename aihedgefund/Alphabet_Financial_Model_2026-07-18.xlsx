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 Model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Cash Flow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Scenarios" sheetId="5" state="visible" r:id="rId5"/>
    <sheet xmlns:r="http://schemas.openxmlformats.org/officeDocument/2006/relationships" name="DCF Inputs" sheetId="6" state="visible" r:id="rId6"/>
    <sheet xmlns:r="http://schemas.openxmlformats.org/officeDocument/2006/relationships" name="DCF" sheetId="7" state="visible" r:id="rId7"/>
    <sheet xmlns:r="http://schemas.openxmlformats.org/officeDocument/2006/relationships" name="DCF Sensitivity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Valuation Summ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;(#,##0.0)"/>
    <numFmt numFmtId="165" formatCode="0.0%"/>
    <numFmt numFmtId="166" formatCode="$0.00"/>
    <numFmt numFmtId="167" formatCode="0.000"/>
    <numFmt numFmtId="168" formatCode="0.0&quot;배&quot;"/>
  </numFmts>
  <fonts count="13">
    <font>
      <name val="Calibri"/>
      <family val="2"/>
      <color theme="1"/>
      <sz val="11"/>
      <scheme val="minor"/>
    </font>
    <font>
      <name val="Times New Roman"/>
      <b val="1"/>
      <color rgb="00000000"/>
      <sz val="13"/>
    </font>
    <font>
      <name val="Times New Roman"/>
      <i val="1"/>
      <color rgb="00595959"/>
      <sz val="9"/>
    </font>
    <font>
      <name val="Times New Roman"/>
      <b val="1"/>
      <color rgb="00FFFFFF"/>
      <sz val="10"/>
    </font>
    <font>
      <name val="Times New Roman"/>
      <b val="1"/>
      <sz val="10"/>
    </font>
    <font>
      <name val="Times New Roman"/>
      <sz val="10"/>
    </font>
    <font>
      <name val="Times New Roman"/>
      <color rgb="000000CC"/>
      <sz val="10"/>
    </font>
    <font>
      <name val="Times New Roman"/>
      <color rgb="00000000"/>
      <sz val="10"/>
    </font>
    <font>
      <name val="Times New Roman"/>
      <b val="1"/>
      <color rgb="00000000"/>
      <sz val="10"/>
    </font>
    <font>
      <name val="Times New Roman"/>
      <color rgb="00008000"/>
      <sz val="10"/>
    </font>
    <font>
      <name val="Times New Roman"/>
      <b val="1"/>
      <color rgb="00008000"/>
      <sz val="10"/>
    </font>
    <font>
      <name val="Times New Roman"/>
      <b val="1"/>
      <color rgb="000000CC"/>
      <sz val="10"/>
    </font>
    <font>
      <name val="Times New Roman"/>
      <b val="1"/>
      <sz val="13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3" fillId="2" borderId="0" applyAlignment="1" pivotButton="0" quotePrefix="0" xfId="0">
      <alignment horizontal="center"/>
    </xf>
    <xf numFmtId="0" fontId="4" fillId="3" borderId="0" pivotButton="0" quotePrefix="0" xfId="0"/>
    <xf numFmtId="0" fontId="0" fillId="3" borderId="0" pivotButton="0" quotePrefix="0" xfId="0"/>
    <xf numFmtId="0" fontId="5" fillId="0" borderId="0" applyAlignment="1" pivotButton="0" quotePrefix="0" xfId="0">
      <alignment horizontal="left"/>
    </xf>
    <xf numFmtId="164" fontId="6" fillId="0" borderId="0" applyAlignment="1" pivotButton="0" quotePrefix="0" xfId="0">
      <alignment horizontal="right"/>
    </xf>
    <xf numFmtId="164" fontId="7" fillId="0" borderId="0" applyAlignment="1" pivotButton="0" quotePrefix="0" xfId="0">
      <alignment horizontal="right"/>
    </xf>
    <xf numFmtId="165" fontId="7" fillId="0" borderId="0" applyAlignment="1" pivotButton="0" quotePrefix="0" xfId="0">
      <alignment horizontal="right"/>
    </xf>
    <xf numFmtId="165" fontId="6" fillId="0" borderId="0" applyAlignment="1" pivotButton="0" quotePrefix="0" xfId="0">
      <alignment horizontal="right"/>
    </xf>
    <xf numFmtId="0" fontId="4" fillId="4" borderId="0" applyAlignment="1" pivotButton="0" quotePrefix="0" xfId="0">
      <alignment horizontal="left"/>
    </xf>
    <xf numFmtId="164" fontId="8" fillId="4" borderId="0" applyAlignment="1" pivotButton="0" quotePrefix="0" xfId="0">
      <alignment horizontal="right"/>
    </xf>
    <xf numFmtId="164" fontId="10" fillId="4" borderId="0" applyAlignment="1" pivotButton="0" quotePrefix="0" xfId="0">
      <alignment horizontal="right"/>
    </xf>
    <xf numFmtId="166" fontId="8" fillId="4" borderId="0" applyAlignment="1" pivotButton="0" quotePrefix="0" xfId="0">
      <alignment horizontal="right"/>
    </xf>
    <xf numFmtId="164" fontId="9" fillId="0" borderId="0" applyAlignment="1" pivotButton="0" quotePrefix="0" xfId="0">
      <alignment horizontal="right"/>
    </xf>
    <xf numFmtId="165" fontId="9" fillId="0" borderId="0" applyAlignment="1" pivotButton="0" quotePrefix="0" xfId="0">
      <alignment horizontal="right"/>
    </xf>
    <xf numFmtId="164" fontId="9" fillId="0" borderId="0" pivotButton="0" quotePrefix="0" xfId="0"/>
    <xf numFmtId="164" fontId="11" fillId="4" borderId="0" applyAlignment="1" pivotButton="0" quotePrefix="0" xfId="0">
      <alignment horizontal="right"/>
    </xf>
    <xf numFmtId="164" fontId="9" fillId="4" borderId="0" applyAlignment="1" pivotButton="0" quotePrefix="0" xfId="0">
      <alignment horizontal="right"/>
    </xf>
    <xf numFmtId="0" fontId="5" fillId="0" borderId="0" pivotButton="0" quotePrefix="0" xfId="0"/>
    <xf numFmtId="0" fontId="4" fillId="4" borderId="0" pivotButton="0" quotePrefix="0" xfId="0"/>
    <xf numFmtId="166" fontId="10" fillId="4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3" fontId="6" fillId="0" borderId="0" applyAlignment="1" pivotButton="0" quotePrefix="0" xfId="0">
      <alignment horizontal="right"/>
    </xf>
    <xf numFmtId="166" fontId="6" fillId="0" borderId="0" applyAlignment="1" pivotButton="0" quotePrefix="0" xfId="0">
      <alignment horizontal="right"/>
    </xf>
    <xf numFmtId="0" fontId="12" fillId="0" borderId="0" pivotButton="0" quotePrefix="0" xfId="0"/>
    <xf numFmtId="0" fontId="4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1" fontId="7" fillId="0" borderId="0" applyAlignment="1" pivotButton="0" quotePrefix="0" xfId="0">
      <alignment horizontal="right"/>
    </xf>
    <xf numFmtId="167" fontId="9" fillId="0" borderId="0" applyAlignment="1" pivotButton="0" quotePrefix="0" xfId="0">
      <alignment horizontal="right"/>
    </xf>
    <xf numFmtId="164" fontId="8" fillId="0" borderId="0" applyAlignment="1" pivotButton="0" quotePrefix="0" xfId="0">
      <alignment horizontal="right"/>
    </xf>
    <xf numFmtId="3" fontId="9" fillId="0" borderId="0" applyAlignment="1" pivotButton="0" quotePrefix="0" xfId="0">
      <alignment horizontal="right"/>
    </xf>
    <xf numFmtId="166" fontId="8" fillId="0" borderId="0" applyAlignment="1" pivotButton="0" quotePrefix="0" xfId="0">
      <alignment horizontal="right"/>
    </xf>
    <xf numFmtId="166" fontId="9" fillId="0" borderId="0" applyAlignment="1" pivotButton="0" quotePrefix="0" xfId="0">
      <alignment horizontal="right"/>
    </xf>
    <xf numFmtId="165" fontId="8" fillId="0" borderId="0" applyAlignment="1" pivotButton="0" quotePrefix="0" xfId="0">
      <alignment horizontal="right"/>
    </xf>
    <xf numFmtId="165" fontId="3" fillId="2" borderId="0" applyAlignment="1" pivotButton="0" quotePrefix="0" xfId="0">
      <alignment horizontal="center"/>
    </xf>
    <xf numFmtId="165" fontId="7" fillId="0" borderId="0" applyAlignment="1" pivotButton="0" quotePrefix="0" xfId="0">
      <alignment horizontal="center"/>
    </xf>
    <xf numFmtId="165" fontId="4" fillId="0" borderId="0" applyAlignment="1" pivotButton="0" quotePrefix="0" xfId="0">
      <alignment horizontal="center"/>
    </xf>
    <xf numFmtId="166" fontId="9" fillId="5" borderId="0" applyAlignment="1" pivotButton="0" quotePrefix="0" xfId="0">
      <alignment horizontal="right"/>
    </xf>
    <xf numFmtId="0" fontId="2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center"/>
    </xf>
    <xf numFmtId="168" fontId="6" fillId="0" borderId="0" applyAlignment="1" pivotButton="0" quotePrefix="0" xfId="0">
      <alignment horizontal="right"/>
    </xf>
    <xf numFmtId="168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0" fontId="4" fillId="3" borderId="0" applyAlignment="1" pivotButton="0" quotePrefix="0" xfId="0">
      <alignment horizontal="left"/>
    </xf>
    <xf numFmtId="166" fontId="4" fillId="0" borderId="0" applyAlignment="1" pivotButton="0" quotePrefix="0" xfId="0">
      <alignment horizontal="right"/>
    </xf>
    <xf numFmtId="166" fontId="7" fillId="0" borderId="0" applyAlignment="1" pivotButton="0" quotePrefix="0" xfId="0">
      <alignment horizontal="right"/>
    </xf>
    <xf numFmtId="166" fontId="4" fillId="5" borderId="0" applyAlignment="1" pivotButton="0" quotePrefix="0" xfId="0">
      <alignment horizontal="right"/>
    </xf>
    <xf numFmtId="0" fontId="4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1" t="inlineStr">
        <is>
          <t>Alphabet Inc. — 매출 모델</t>
        </is>
      </c>
    </row>
    <row r="2">
      <c r="A2" s="2" t="inlineStr">
        <is>
          <t>세그먼트 빌드업 · 파란색 성장률 가정으로 추정</t>
        </is>
      </c>
    </row>
    <row r="3">
      <c r="A3" s="2" t="inlineStr">
        <is>
          <t>US$M (달리 표기 없으면) · 회계연도=역년(12월 결산) · 주당지표 20:1 분할 반영 · 파랑=입력 검정=수식 초록=시트링크</t>
        </is>
      </c>
    </row>
    <row r="5">
      <c r="A5" s="3" t="n"/>
      <c r="B5" s="4" t="inlineStr">
        <is>
          <t>FY2022</t>
        </is>
      </c>
      <c r="C5" s="4" t="inlineStr">
        <is>
          <t>FY2023</t>
        </is>
      </c>
      <c r="D5" s="4" t="inlineStr">
        <is>
          <t>FY2024</t>
        </is>
      </c>
      <c r="E5" s="4" t="inlineStr">
        <is>
          <t>FY2025</t>
        </is>
      </c>
      <c r="F5" s="4" t="inlineStr">
        <is>
          <t>FY2026E</t>
        </is>
      </c>
      <c r="G5" s="4" t="inlineStr">
        <is>
          <t>FY2027E</t>
        </is>
      </c>
      <c r="H5" s="4" t="inlineStr">
        <is>
          <t>FY2028E</t>
        </is>
      </c>
      <c r="I5" s="4" t="inlineStr">
        <is>
          <t>FY2029E</t>
        </is>
      </c>
      <c r="J5" s="4" t="inlineStr">
        <is>
          <t>FY2030E</t>
        </is>
      </c>
    </row>
    <row r="6">
      <c r="A6" s="5" t="inlineStr">
        <is>
          <t>세그먼트별 매출 ($M)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</row>
    <row r="7">
      <c r="A7" s="7" t="inlineStr">
        <is>
          <t xml:space="preserve">  구글 서치·기타</t>
        </is>
      </c>
      <c r="B7" s="8" t="n">
        <v>161782.2</v>
      </c>
      <c r="C7" s="8" t="n">
        <v>175214.6</v>
      </c>
      <c r="D7" s="8" t="n">
        <v>198110.2</v>
      </c>
      <c r="E7" s="8" t="n">
        <v>223574</v>
      </c>
      <c r="F7" s="9">
        <f>E7*(1+F8)</f>
        <v/>
      </c>
      <c r="G7" s="9">
        <f>F7*(1+G8)</f>
        <v/>
      </c>
      <c r="H7" s="9">
        <f>G7*(1+H8)</f>
        <v/>
      </c>
      <c r="I7" s="9">
        <f>H7*(1+I8)</f>
        <v/>
      </c>
      <c r="J7" s="9">
        <f>I7*(1+J8)</f>
        <v/>
      </c>
    </row>
    <row r="8">
      <c r="A8" s="7" t="inlineStr">
        <is>
          <t xml:space="preserve">    구글 서치·기타 성장률 %</t>
        </is>
      </c>
      <c r="C8" s="10">
        <f>C7/B7-1</f>
        <v/>
      </c>
      <c r="D8" s="10">
        <f>D7/C7-1</f>
        <v/>
      </c>
      <c r="E8" s="10">
        <f>E7/D7-1</f>
        <v/>
      </c>
      <c r="F8" s="11" t="n">
        <v>0.16</v>
      </c>
      <c r="G8" s="11" t="n">
        <v>0.13</v>
      </c>
      <c r="H8" s="11" t="n">
        <v>0.11</v>
      </c>
      <c r="I8" s="11" t="n">
        <v>0.09</v>
      </c>
      <c r="J8" s="11" t="n">
        <v>0.08</v>
      </c>
    </row>
    <row r="9">
      <c r="A9" s="7" t="inlineStr">
        <is>
          <t xml:space="preserve">  유튜브 광고</t>
        </is>
      </c>
      <c r="B9" s="8" t="n">
        <v>28566.4</v>
      </c>
      <c r="C9" s="8" t="n">
        <v>31354.2</v>
      </c>
      <c r="D9" s="8" t="n">
        <v>36051.9</v>
      </c>
      <c r="E9" s="8" t="n">
        <v>42700.6</v>
      </c>
      <c r="F9" s="9">
        <f>E9*(1+F10)</f>
        <v/>
      </c>
      <c r="G9" s="9">
        <f>F9*(1+G10)</f>
        <v/>
      </c>
      <c r="H9" s="9">
        <f>G9*(1+H10)</f>
        <v/>
      </c>
      <c r="I9" s="9">
        <f>H9*(1+I10)</f>
        <v/>
      </c>
      <c r="J9" s="9">
        <f>I9*(1+J10)</f>
        <v/>
      </c>
    </row>
    <row r="10">
      <c r="A10" s="7" t="inlineStr">
        <is>
          <t xml:space="preserve">    유튜브 광고 성장률 %</t>
        </is>
      </c>
      <c r="C10" s="10">
        <f>C9/B9-1</f>
        <v/>
      </c>
      <c r="D10" s="10">
        <f>D9/C9-1</f>
        <v/>
      </c>
      <c r="E10" s="10">
        <f>E9/D9-1</f>
        <v/>
      </c>
      <c r="F10" s="11" t="n">
        <v>0.17</v>
      </c>
      <c r="G10" s="11" t="n">
        <v>0.15</v>
      </c>
      <c r="H10" s="11" t="n">
        <v>0.13</v>
      </c>
      <c r="I10" s="11" t="n">
        <v>0.11</v>
      </c>
      <c r="J10" s="11" t="n">
        <v>0.1</v>
      </c>
    </row>
    <row r="11">
      <c r="A11" s="7" t="inlineStr">
        <is>
          <t xml:space="preserve">  구글 네트워크</t>
        </is>
      </c>
      <c r="B11" s="8" t="n">
        <v>33374.6</v>
      </c>
      <c r="C11" s="8" t="n">
        <v>30432</v>
      </c>
      <c r="D11" s="8" t="n">
        <v>30451.6</v>
      </c>
      <c r="E11" s="8" t="n">
        <v>28198.5</v>
      </c>
      <c r="F11" s="9">
        <f>E11*(1+F12)</f>
        <v/>
      </c>
      <c r="G11" s="9">
        <f>F11*(1+G12)</f>
        <v/>
      </c>
      <c r="H11" s="9">
        <f>G11*(1+H12)</f>
        <v/>
      </c>
      <c r="I11" s="9">
        <f>H11*(1+I12)</f>
        <v/>
      </c>
      <c r="J11" s="9">
        <f>I11*(1+J12)</f>
        <v/>
      </c>
    </row>
    <row r="12">
      <c r="A12" s="7" t="inlineStr">
        <is>
          <t xml:space="preserve">    구글 네트워크 성장률 %</t>
        </is>
      </c>
      <c r="C12" s="10">
        <f>C11/B11-1</f>
        <v/>
      </c>
      <c r="D12" s="10">
        <f>D11/C11-1</f>
        <v/>
      </c>
      <c r="E12" s="10">
        <f>E11/D11-1</f>
        <v/>
      </c>
      <c r="F12" s="11" t="n">
        <v>-0.08</v>
      </c>
      <c r="G12" s="11" t="n">
        <v>-0.06</v>
      </c>
      <c r="H12" s="11" t="n">
        <v>-0.04</v>
      </c>
      <c r="I12" s="11" t="n">
        <v>-0.03</v>
      </c>
      <c r="J12" s="11" t="n">
        <v>-0.02</v>
      </c>
    </row>
    <row r="13">
      <c r="A13" s="7" t="inlineStr">
        <is>
          <t xml:space="preserve">  구독·플랫폼·기기</t>
        </is>
      </c>
      <c r="B13" s="8" t="n">
        <v>27435.1</v>
      </c>
      <c r="C13" s="8" t="n">
        <v>34428.1</v>
      </c>
      <c r="D13" s="8" t="n">
        <v>40252.1</v>
      </c>
      <c r="E13" s="8" t="n">
        <v>49146</v>
      </c>
      <c r="F13" s="9">
        <f>E13*(1+F14)</f>
        <v/>
      </c>
      <c r="G13" s="9">
        <f>F13*(1+G14)</f>
        <v/>
      </c>
      <c r="H13" s="9">
        <f>G13*(1+H14)</f>
        <v/>
      </c>
      <c r="I13" s="9">
        <f>H13*(1+I14)</f>
        <v/>
      </c>
      <c r="J13" s="9">
        <f>I13*(1+J14)</f>
        <v/>
      </c>
    </row>
    <row r="14">
      <c r="A14" s="7" t="inlineStr">
        <is>
          <t xml:space="preserve">    구독·플랫폼·기기 성장률 %</t>
        </is>
      </c>
      <c r="C14" s="10">
        <f>C13/B13-1</f>
        <v/>
      </c>
      <c r="D14" s="10">
        <f>D13/C13-1</f>
        <v/>
      </c>
      <c r="E14" s="10">
        <f>E13/D13-1</f>
        <v/>
      </c>
      <c r="F14" s="11" t="n">
        <v>0.22</v>
      </c>
      <c r="G14" s="11" t="n">
        <v>0.19</v>
      </c>
      <c r="H14" s="11" t="n">
        <v>0.16</v>
      </c>
      <c r="I14" s="11" t="n">
        <v>0.14</v>
      </c>
      <c r="J14" s="11" t="n">
        <v>0.12</v>
      </c>
    </row>
    <row r="15">
      <c r="A15" s="7" t="inlineStr">
        <is>
          <t xml:space="preserve">  구글 클라우드</t>
        </is>
      </c>
      <c r="B15" s="8" t="n">
        <v>26869.4</v>
      </c>
      <c r="C15" s="8" t="n">
        <v>34120.7</v>
      </c>
      <c r="D15" s="8" t="n">
        <v>43402.2</v>
      </c>
      <c r="E15" s="8" t="n">
        <v>57202.7</v>
      </c>
      <c r="F15" s="9">
        <f>E15*(1+F16)</f>
        <v/>
      </c>
      <c r="G15" s="9">
        <f>F15*(1+G16)</f>
        <v/>
      </c>
      <c r="H15" s="9">
        <f>G15*(1+H16)</f>
        <v/>
      </c>
      <c r="I15" s="9">
        <f>H15*(1+I16)</f>
        <v/>
      </c>
      <c r="J15" s="9">
        <f>I15*(1+J16)</f>
        <v/>
      </c>
    </row>
    <row r="16">
      <c r="A16" s="7" t="inlineStr">
        <is>
          <t xml:space="preserve">    구글 클라우드 성장률 %</t>
        </is>
      </c>
      <c r="C16" s="10">
        <f>C15/B15-1</f>
        <v/>
      </c>
      <c r="D16" s="10">
        <f>D15/C15-1</f>
        <v/>
      </c>
      <c r="E16" s="10">
        <f>E15/D15-1</f>
        <v/>
      </c>
      <c r="F16" s="11" t="n">
        <v>0.5</v>
      </c>
      <c r="G16" s="11" t="n">
        <v>0.38</v>
      </c>
      <c r="H16" s="11" t="n">
        <v>0.3</v>
      </c>
      <c r="I16" s="11" t="n">
        <v>0.24</v>
      </c>
      <c r="J16" s="11" t="n">
        <v>0.2</v>
      </c>
    </row>
    <row r="17">
      <c r="A17" s="7" t="inlineStr">
        <is>
          <t xml:space="preserve">  기타 베팅·헤징</t>
        </is>
      </c>
      <c r="B17" s="8" t="n">
        <v>4808.2</v>
      </c>
      <c r="C17" s="8" t="n">
        <v>1844.4</v>
      </c>
      <c r="D17" s="8" t="n">
        <v>1750.1</v>
      </c>
      <c r="E17" s="8" t="n">
        <v>2014.2</v>
      </c>
      <c r="F17" s="9">
        <f>E17*(1+F18)</f>
        <v/>
      </c>
      <c r="G17" s="9">
        <f>F17*(1+G18)</f>
        <v/>
      </c>
      <c r="H17" s="9">
        <f>G17*(1+H18)</f>
        <v/>
      </c>
      <c r="I17" s="9">
        <f>H17*(1+I18)</f>
        <v/>
      </c>
      <c r="J17" s="9">
        <f>I17*(1+J18)</f>
        <v/>
      </c>
    </row>
    <row r="18">
      <c r="A18" s="7" t="inlineStr">
        <is>
          <t xml:space="preserve">    기타 베팅·헤징 성장률 %</t>
        </is>
      </c>
      <c r="C18" s="10">
        <f>C17/B17-1</f>
        <v/>
      </c>
      <c r="D18" s="10">
        <f>D17/C17-1</f>
        <v/>
      </c>
      <c r="E18" s="10">
        <f>E17/D17-1</f>
        <v/>
      </c>
      <c r="F18" s="11" t="n">
        <v>0.25</v>
      </c>
      <c r="G18" s="11" t="n">
        <v>0.2</v>
      </c>
      <c r="H18" s="11" t="n">
        <v>0.18</v>
      </c>
      <c r="I18" s="11" t="n">
        <v>0.15</v>
      </c>
      <c r="J18" s="11" t="n">
        <v>0.15</v>
      </c>
    </row>
    <row r="19">
      <c r="A19" s="12" t="inlineStr">
        <is>
          <t xml:space="preserve">  총매출</t>
        </is>
      </c>
      <c r="B19" s="13">
        <f>B7+B9+B11+B13+B15+B17</f>
        <v/>
      </c>
      <c r="C19" s="13">
        <f>C7+C9+C11+C13+C15+C17</f>
        <v/>
      </c>
      <c r="D19" s="13">
        <f>D7+D9+D11+D13+D15+D17</f>
        <v/>
      </c>
      <c r="E19" s="13">
        <f>E7+E9+E11+E13+E15+E17</f>
        <v/>
      </c>
      <c r="F19" s="13">
        <f>F7+F9+F11+F13+F15+F17</f>
        <v/>
      </c>
      <c r="G19" s="13">
        <f>G7+G9+G11+G13+G15+G17</f>
        <v/>
      </c>
      <c r="H19" s="13">
        <f>H7+H9+H11+H13+H15+H17</f>
        <v/>
      </c>
      <c r="I19" s="13">
        <f>I7+I9+I11+I13+I15+I17</f>
        <v/>
      </c>
      <c r="J19" s="13">
        <f>J7+J9+J11+J13+J15+J17</f>
        <v/>
      </c>
    </row>
    <row r="20">
      <c r="A20" s="7" t="inlineStr">
        <is>
          <t xml:space="preserve">    총매출 성장률 %</t>
        </is>
      </c>
      <c r="C20" s="10">
        <f>IF(B19=0,"",C19/B19-1)</f>
        <v/>
      </c>
      <c r="D20" s="10">
        <f>IF(C19=0,"",D19/C19-1)</f>
        <v/>
      </c>
      <c r="E20" s="10">
        <f>IF(D19=0,"",E19/D19-1)</f>
        <v/>
      </c>
      <c r="F20" s="10">
        <f>IF(E19=0,"",F19/E19-1)</f>
        <v/>
      </c>
      <c r="G20" s="10">
        <f>IF(F19=0,"",G19/F19-1)</f>
        <v/>
      </c>
      <c r="H20" s="10">
        <f>IF(G19=0,"",H19/G19-1)</f>
        <v/>
      </c>
      <c r="I20" s="10">
        <f>IF(H19=0,"",I19/H19-1)</f>
        <v/>
      </c>
      <c r="J20" s="10">
        <f>IF(I19=0,"",J19/I19-1)</f>
        <v/>
      </c>
    </row>
    <row r="22">
      <c r="A22" s="5" t="inlineStr">
        <is>
          <t>세그먼트 믹스 (총매출 대비 %)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</row>
    <row r="23">
      <c r="A23" s="7" t="inlineStr">
        <is>
          <t xml:space="preserve">    구글 서치·기타</t>
        </is>
      </c>
      <c r="B23" s="10">
        <f>IF(B19=0,"",B7/B19)</f>
        <v/>
      </c>
      <c r="C23" s="10">
        <f>IF(C19=0,"",C7/C19)</f>
        <v/>
      </c>
      <c r="D23" s="10">
        <f>IF(D19=0,"",D7/D19)</f>
        <v/>
      </c>
      <c r="E23" s="10">
        <f>IF(E19=0,"",E7/E19)</f>
        <v/>
      </c>
      <c r="F23" s="10">
        <f>IF(F19=0,"",F7/F19)</f>
        <v/>
      </c>
      <c r="G23" s="10">
        <f>IF(G19=0,"",G7/G19)</f>
        <v/>
      </c>
      <c r="H23" s="10">
        <f>IF(H19=0,"",H7/H19)</f>
        <v/>
      </c>
      <c r="I23" s="10">
        <f>IF(I19=0,"",I7/I19)</f>
        <v/>
      </c>
      <c r="J23" s="10">
        <f>IF(J19=0,"",J7/J19)</f>
        <v/>
      </c>
    </row>
    <row r="24">
      <c r="A24" s="7" t="inlineStr">
        <is>
          <t xml:space="preserve">    유튜브 광고</t>
        </is>
      </c>
      <c r="B24" s="10">
        <f>IF(B19=0,"",B9/B19)</f>
        <v/>
      </c>
      <c r="C24" s="10">
        <f>IF(C19=0,"",C9/C19)</f>
        <v/>
      </c>
      <c r="D24" s="10">
        <f>IF(D19=0,"",D9/D19)</f>
        <v/>
      </c>
      <c r="E24" s="10">
        <f>IF(E19=0,"",E9/E19)</f>
        <v/>
      </c>
      <c r="F24" s="10">
        <f>IF(F19=0,"",F9/F19)</f>
        <v/>
      </c>
      <c r="G24" s="10">
        <f>IF(G19=0,"",G9/G19)</f>
        <v/>
      </c>
      <c r="H24" s="10">
        <f>IF(H19=0,"",H9/H19)</f>
        <v/>
      </c>
      <c r="I24" s="10">
        <f>IF(I19=0,"",I9/I19)</f>
        <v/>
      </c>
      <c r="J24" s="10">
        <f>IF(J19=0,"",J9/J19)</f>
        <v/>
      </c>
    </row>
    <row r="25">
      <c r="A25" s="7" t="inlineStr">
        <is>
          <t xml:space="preserve">    구글 네트워크</t>
        </is>
      </c>
      <c r="B25" s="10">
        <f>IF(B19=0,"",B11/B19)</f>
        <v/>
      </c>
      <c r="C25" s="10">
        <f>IF(C19=0,"",C11/C19)</f>
        <v/>
      </c>
      <c r="D25" s="10">
        <f>IF(D19=0,"",D11/D19)</f>
        <v/>
      </c>
      <c r="E25" s="10">
        <f>IF(E19=0,"",E11/E19)</f>
        <v/>
      </c>
      <c r="F25" s="10">
        <f>IF(F19=0,"",F11/F19)</f>
        <v/>
      </c>
      <c r="G25" s="10">
        <f>IF(G19=0,"",G11/G19)</f>
        <v/>
      </c>
      <c r="H25" s="10">
        <f>IF(H19=0,"",H11/H19)</f>
        <v/>
      </c>
      <c r="I25" s="10">
        <f>IF(I19=0,"",I11/I19)</f>
        <v/>
      </c>
      <c r="J25" s="10">
        <f>IF(J19=0,"",J11/J19)</f>
        <v/>
      </c>
    </row>
    <row r="26">
      <c r="A26" s="7" t="inlineStr">
        <is>
          <t xml:space="preserve">    구독·플랫폼·기기</t>
        </is>
      </c>
      <c r="B26" s="10">
        <f>IF(B19=0,"",B13/B19)</f>
        <v/>
      </c>
      <c r="C26" s="10">
        <f>IF(C19=0,"",C13/C19)</f>
        <v/>
      </c>
      <c r="D26" s="10">
        <f>IF(D19=0,"",D13/D19)</f>
        <v/>
      </c>
      <c r="E26" s="10">
        <f>IF(E19=0,"",E13/E19)</f>
        <v/>
      </c>
      <c r="F26" s="10">
        <f>IF(F19=0,"",F13/F19)</f>
        <v/>
      </c>
      <c r="G26" s="10">
        <f>IF(G19=0,"",G13/G19)</f>
        <v/>
      </c>
      <c r="H26" s="10">
        <f>IF(H19=0,"",H13/H19)</f>
        <v/>
      </c>
      <c r="I26" s="10">
        <f>IF(I19=0,"",I13/I19)</f>
        <v/>
      </c>
      <c r="J26" s="10">
        <f>IF(J19=0,"",J13/J19)</f>
        <v/>
      </c>
    </row>
    <row r="27">
      <c r="A27" s="7" t="inlineStr">
        <is>
          <t xml:space="preserve">    구글 클라우드</t>
        </is>
      </c>
      <c r="B27" s="10">
        <f>IF(B19=0,"",B15/B19)</f>
        <v/>
      </c>
      <c r="C27" s="10">
        <f>IF(C19=0,"",C15/C19)</f>
        <v/>
      </c>
      <c r="D27" s="10">
        <f>IF(D19=0,"",D15/D19)</f>
        <v/>
      </c>
      <c r="E27" s="10">
        <f>IF(E19=0,"",E15/E19)</f>
        <v/>
      </c>
      <c r="F27" s="10">
        <f>IF(F19=0,"",F15/F19)</f>
        <v/>
      </c>
      <c r="G27" s="10">
        <f>IF(G19=0,"",G15/G19)</f>
        <v/>
      </c>
      <c r="H27" s="10">
        <f>IF(H19=0,"",H15/H19)</f>
        <v/>
      </c>
      <c r="I27" s="10">
        <f>IF(I19=0,"",I15/I19)</f>
        <v/>
      </c>
      <c r="J27" s="10">
        <f>IF(J19=0,"",J15/J19)</f>
        <v/>
      </c>
    </row>
    <row r="28">
      <c r="A28" s="7" t="inlineStr">
        <is>
          <t xml:space="preserve">    기타 베팅·헤징</t>
        </is>
      </c>
      <c r="B28" s="10">
        <f>IF(B19=0,"",B17/B19)</f>
        <v/>
      </c>
      <c r="C28" s="10">
        <f>IF(C19=0,"",C17/C19)</f>
        <v/>
      </c>
      <c r="D28" s="10">
        <f>IF(D19=0,"",D17/D19)</f>
        <v/>
      </c>
      <c r="E28" s="10">
        <f>IF(E19=0,"",E17/E19)</f>
        <v/>
      </c>
      <c r="F28" s="10">
        <f>IF(F19=0,"",F17/F19)</f>
        <v/>
      </c>
      <c r="G28" s="10">
        <f>IF(G19=0,"",G17/G19)</f>
        <v/>
      </c>
      <c r="H28" s="10">
        <f>IF(H19=0,"",H17/H19)</f>
        <v/>
      </c>
      <c r="I28" s="10">
        <f>IF(I19=0,"",I17/I19)</f>
        <v/>
      </c>
      <c r="J28" s="10">
        <f>IF(J19=0,"",J17/J19)</f>
        <v/>
      </c>
    </row>
    <row r="30">
      <c r="A30" s="5" t="inlineStr">
        <is>
          <t>지역별 매출 (청구지 기준, % × 총매출)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</row>
    <row r="31">
      <c r="A31" s="7" t="inlineStr">
        <is>
          <t xml:space="preserve">    미국 %</t>
        </is>
      </c>
      <c r="B31" s="11" t="n">
        <v>0.47</v>
      </c>
      <c r="C31" s="11" t="n">
        <v>0.475</v>
      </c>
      <c r="D31" s="11" t="n">
        <v>0.485</v>
      </c>
      <c r="E31" s="11" t="n">
        <v>0.49</v>
      </c>
      <c r="F31" s="11" t="n">
        <v>0.495</v>
      </c>
      <c r="G31" s="11" t="n">
        <v>0.5</v>
      </c>
      <c r="H31" s="11" t="n">
        <v>0.5</v>
      </c>
      <c r="I31" s="11" t="n">
        <v>0.5</v>
      </c>
      <c r="J31" s="11" t="n">
        <v>0.5</v>
      </c>
    </row>
    <row r="32">
      <c r="A32" s="7" t="inlineStr">
        <is>
          <t xml:space="preserve">    EMEA %</t>
        </is>
      </c>
      <c r="B32" s="11" t="n">
        <v>0.294</v>
      </c>
      <c r="C32" s="11" t="n">
        <v>0.292</v>
      </c>
      <c r="D32" s="11" t="n">
        <v>0.288</v>
      </c>
      <c r="E32" s="11" t="n">
        <v>0.285</v>
      </c>
      <c r="F32" s="11" t="n">
        <v>0.282</v>
      </c>
      <c r="G32" s="11" t="n">
        <v>0.28</v>
      </c>
      <c r="H32" s="11" t="n">
        <v>0.28</v>
      </c>
      <c r="I32" s="11" t="n">
        <v>0.28</v>
      </c>
      <c r="J32" s="11" t="n">
        <v>0.28</v>
      </c>
    </row>
    <row r="33">
      <c r="A33" s="7" t="inlineStr">
        <is>
          <t xml:space="preserve">    아시아·태평양 %</t>
        </is>
      </c>
      <c r="B33" s="11" t="n">
        <v>0.17</v>
      </c>
      <c r="C33" s="11" t="n">
        <v>0.17</v>
      </c>
      <c r="D33" s="11" t="n">
        <v>0.168</v>
      </c>
      <c r="E33" s="11" t="n">
        <v>0.167</v>
      </c>
      <c r="F33" s="11" t="n">
        <v>0.165</v>
      </c>
      <c r="G33" s="11" t="n">
        <v>0.163</v>
      </c>
      <c r="H33" s="11" t="n">
        <v>0.163</v>
      </c>
      <c r="I33" s="11" t="n">
        <v>0.163</v>
      </c>
      <c r="J33" s="11" t="n">
        <v>0.163</v>
      </c>
    </row>
    <row r="34">
      <c r="A34" s="7" t="inlineStr">
        <is>
          <t xml:space="preserve">    기타 아메리카 %</t>
        </is>
      </c>
      <c r="B34" s="11" t="n">
        <v>0.066</v>
      </c>
      <c r="C34" s="11" t="n">
        <v>0.063</v>
      </c>
      <c r="D34" s="11" t="n">
        <v>0.059</v>
      </c>
      <c r="E34" s="11" t="n">
        <v>0.058</v>
      </c>
      <c r="F34" s="11" t="n">
        <v>0.058</v>
      </c>
      <c r="G34" s="11" t="n">
        <v>0.057</v>
      </c>
      <c r="H34" s="11" t="n">
        <v>0.057</v>
      </c>
      <c r="I34" s="11" t="n">
        <v>0.057</v>
      </c>
      <c r="J34" s="11" t="n">
        <v>0.057</v>
      </c>
    </row>
    <row r="35">
      <c r="A35" s="7" t="inlineStr">
        <is>
          <t xml:space="preserve">    미국 ($M)</t>
        </is>
      </c>
      <c r="B35" s="9">
        <f>B31*B19</f>
        <v/>
      </c>
      <c r="C35" s="9">
        <f>C31*C19</f>
        <v/>
      </c>
      <c r="D35" s="9">
        <f>D31*D19</f>
        <v/>
      </c>
      <c r="E35" s="9">
        <f>E31*E19</f>
        <v/>
      </c>
      <c r="F35" s="9">
        <f>F31*F19</f>
        <v/>
      </c>
      <c r="G35" s="9">
        <f>G31*G19</f>
        <v/>
      </c>
      <c r="H35" s="9">
        <f>H31*H19</f>
        <v/>
      </c>
      <c r="I35" s="9">
        <f>I31*I19</f>
        <v/>
      </c>
      <c r="J35" s="9">
        <f>J31*J19</f>
        <v/>
      </c>
    </row>
    <row r="36">
      <c r="A36" s="7" t="inlineStr">
        <is>
          <t xml:space="preserve">    EMEA ($M)</t>
        </is>
      </c>
      <c r="B36" s="9">
        <f>B32*B19</f>
        <v/>
      </c>
      <c r="C36" s="9">
        <f>C32*C19</f>
        <v/>
      </c>
      <c r="D36" s="9">
        <f>D32*D19</f>
        <v/>
      </c>
      <c r="E36" s="9">
        <f>E32*E19</f>
        <v/>
      </c>
      <c r="F36" s="9">
        <f>F32*F19</f>
        <v/>
      </c>
      <c r="G36" s="9">
        <f>G32*G19</f>
        <v/>
      </c>
      <c r="H36" s="9">
        <f>H32*H19</f>
        <v/>
      </c>
      <c r="I36" s="9">
        <f>I32*I19</f>
        <v/>
      </c>
      <c r="J36" s="9">
        <f>J32*J19</f>
        <v/>
      </c>
    </row>
    <row r="37">
      <c r="A37" s="7" t="inlineStr">
        <is>
          <t xml:space="preserve">    아시아·태평양 ($M)</t>
        </is>
      </c>
      <c r="B37" s="9">
        <f>B33*B19</f>
        <v/>
      </c>
      <c r="C37" s="9">
        <f>C33*C19</f>
        <v/>
      </c>
      <c r="D37" s="9">
        <f>D33*D19</f>
        <v/>
      </c>
      <c r="E37" s="9">
        <f>E33*E19</f>
        <v/>
      </c>
      <c r="F37" s="9">
        <f>F33*F19</f>
        <v/>
      </c>
      <c r="G37" s="9">
        <f>G33*G19</f>
        <v/>
      </c>
      <c r="H37" s="9">
        <f>H33*H19</f>
        <v/>
      </c>
      <c r="I37" s="9">
        <f>I33*I19</f>
        <v/>
      </c>
      <c r="J37" s="9">
        <f>J33*J19</f>
        <v/>
      </c>
    </row>
    <row r="38">
      <c r="A38" s="7" t="inlineStr">
        <is>
          <t xml:space="preserve">    기타 아메리카 ($M)</t>
        </is>
      </c>
      <c r="B38" s="9">
        <f>B34*B19</f>
        <v/>
      </c>
      <c r="C38" s="9">
        <f>C34*C19</f>
        <v/>
      </c>
      <c r="D38" s="9">
        <f>D34*D19</f>
        <v/>
      </c>
      <c r="E38" s="9">
        <f>E34*E19</f>
        <v/>
      </c>
      <c r="F38" s="9">
        <f>F34*F19</f>
        <v/>
      </c>
      <c r="G38" s="9">
        <f>G34*G19</f>
        <v/>
      </c>
      <c r="H38" s="9">
        <f>H34*H19</f>
        <v/>
      </c>
      <c r="I38" s="9">
        <f>I34*I19</f>
        <v/>
      </c>
      <c r="J38" s="9">
        <f>J34*J19</f>
        <v/>
      </c>
    </row>
    <row r="39">
      <c r="A39" s="7" t="inlineStr">
        <is>
          <t xml:space="preserve">  지역 합계 검증 (≈0)</t>
        </is>
      </c>
      <c r="B39" s="9">
        <f>SUM(B35:B38)-B19</f>
        <v/>
      </c>
      <c r="C39" s="9">
        <f>SUM(C35:C38)-C19</f>
        <v/>
      </c>
      <c r="D39" s="9">
        <f>SUM(D35:D38)-D19</f>
        <v/>
      </c>
      <c r="E39" s="9">
        <f>SUM(E35:E38)-E19</f>
        <v/>
      </c>
      <c r="F39" s="9">
        <f>SUM(F35:F38)-F19</f>
        <v/>
      </c>
      <c r="G39" s="9">
        <f>SUM(G35:G38)-G19</f>
        <v/>
      </c>
      <c r="H39" s="9">
        <f>SUM(H35:H38)-H19</f>
        <v/>
      </c>
      <c r="I39" s="9">
        <f>SUM(I35:I38)-I19</f>
        <v/>
      </c>
      <c r="J39" s="9">
        <f>SUM(J35:J38)-J19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3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1" t="inlineStr">
        <is>
          <t>Alphabet Inc. — 손익계산서</t>
        </is>
      </c>
    </row>
    <row r="2">
      <c r="A2" s="2" t="inlineStr">
        <is>
          <t>실적(파랑) + 마진 가정 기반 추정 · 매출은 매출모델에서 링크</t>
        </is>
      </c>
    </row>
    <row r="3">
      <c r="A3" s="2" t="inlineStr">
        <is>
          <t>US$M (달리 표기 없으면) · 회계연도=역년(12월 결산) · 주당지표 20:1 분할 반영 · 파랑=입력 검정=수식 초록=시트링크</t>
        </is>
      </c>
    </row>
    <row r="5">
      <c r="A5" s="3" t="n"/>
      <c r="B5" s="4" t="inlineStr">
        <is>
          <t>FY2022</t>
        </is>
      </c>
      <c r="C5" s="4" t="inlineStr">
        <is>
          <t>FY2023</t>
        </is>
      </c>
      <c r="D5" s="4" t="inlineStr">
        <is>
          <t>FY2024</t>
        </is>
      </c>
      <c r="E5" s="4" t="inlineStr">
        <is>
          <t>FY2025</t>
        </is>
      </c>
      <c r="F5" s="4" t="inlineStr">
        <is>
          <t>FY2026E</t>
        </is>
      </c>
      <c r="G5" s="4" t="inlineStr">
        <is>
          <t>FY2027E</t>
        </is>
      </c>
      <c r="H5" s="4" t="inlineStr">
        <is>
          <t>FY2028E</t>
        </is>
      </c>
      <c r="I5" s="4" t="inlineStr">
        <is>
          <t>FY2029E</t>
        </is>
      </c>
      <c r="J5" s="4" t="inlineStr">
        <is>
          <t>FY2030E</t>
        </is>
      </c>
    </row>
    <row r="6">
      <c r="A6" s="5" t="inlineStr">
        <is>
          <t>손익계산서 ($M)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</row>
    <row r="7">
      <c r="A7" s="12" t="inlineStr">
        <is>
          <t xml:space="preserve">  총매출</t>
        </is>
      </c>
      <c r="B7" s="14">
        <f>'Revenue Model'!B19</f>
        <v/>
      </c>
      <c r="C7" s="14">
        <f>'Revenue Model'!C19</f>
        <v/>
      </c>
      <c r="D7" s="14">
        <f>'Revenue Model'!D19</f>
        <v/>
      </c>
      <c r="E7" s="14">
        <f>'Revenue Model'!E19</f>
        <v/>
      </c>
      <c r="F7" s="14">
        <f>'Revenue Model'!F19</f>
        <v/>
      </c>
      <c r="G7" s="14">
        <f>'Revenue Model'!G19</f>
        <v/>
      </c>
      <c r="H7" s="14">
        <f>'Revenue Model'!H19</f>
        <v/>
      </c>
      <c r="I7" s="14">
        <f>'Revenue Model'!I19</f>
        <v/>
      </c>
      <c r="J7" s="14">
        <f>'Revenue Model'!J19</f>
        <v/>
      </c>
    </row>
    <row r="8">
      <c r="A8" s="7" t="inlineStr">
        <is>
          <t xml:space="preserve">    매출 성장률 %</t>
        </is>
      </c>
      <c r="C8" s="10">
        <f>IF(B7=0,"",C7/B7-1)</f>
        <v/>
      </c>
      <c r="D8" s="10">
        <f>IF(C7=0,"",D7/C7-1)</f>
        <v/>
      </c>
      <c r="E8" s="10">
        <f>IF(D7=0,"",E7/D7-1)</f>
        <v/>
      </c>
      <c r="F8" s="10">
        <f>IF(E7=0,"",F7/E7-1)</f>
        <v/>
      </c>
      <c r="G8" s="10">
        <f>IF(F7=0,"",G7/F7-1)</f>
        <v/>
      </c>
      <c r="H8" s="10">
        <f>IF(G7=0,"",H7/G7-1)</f>
        <v/>
      </c>
      <c r="I8" s="10">
        <f>IF(H7=0,"",I7/H7-1)</f>
        <v/>
      </c>
      <c r="J8" s="10">
        <f>IF(I7=0,"",J7/I7-1)</f>
        <v/>
      </c>
    </row>
    <row r="9">
      <c r="A9" s="7" t="inlineStr">
        <is>
          <t xml:space="preserve">    매출총이익률 % (가정)</t>
        </is>
      </c>
      <c r="B9" s="10" t="n">
        <v>0.5538</v>
      </c>
      <c r="C9" s="10" t="n">
        <v>0.5663</v>
      </c>
      <c r="D9" s="10" t="n">
        <v>0.582</v>
      </c>
      <c r="E9" s="10" t="n">
        <v>0.5965</v>
      </c>
      <c r="F9" s="11" t="n">
        <v>0.59</v>
      </c>
      <c r="G9" s="11" t="n">
        <v>0.592</v>
      </c>
      <c r="H9" s="11" t="n">
        <v>0.594</v>
      </c>
      <c r="I9" s="11" t="n">
        <v>0.595</v>
      </c>
      <c r="J9" s="11" t="n">
        <v>0.596</v>
      </c>
    </row>
    <row r="10">
      <c r="A10" s="7" t="inlineStr">
        <is>
          <t xml:space="preserve">  매출원가</t>
        </is>
      </c>
      <c r="B10" s="9">
        <f>B7*(1-B9)</f>
        <v/>
      </c>
      <c r="C10" s="9">
        <f>C7*(1-C9)</f>
        <v/>
      </c>
      <c r="D10" s="9">
        <f>D7*(1-D9)</f>
        <v/>
      </c>
      <c r="E10" s="9">
        <f>E7*(1-E9)</f>
        <v/>
      </c>
      <c r="F10" s="9">
        <f>F7*(1-F9)</f>
        <v/>
      </c>
      <c r="G10" s="9">
        <f>G7*(1-G9)</f>
        <v/>
      </c>
      <c r="H10" s="9">
        <f>H7*(1-H9)</f>
        <v/>
      </c>
      <c r="I10" s="9">
        <f>I7*(1-I9)</f>
        <v/>
      </c>
      <c r="J10" s="9">
        <f>J7*(1-J9)</f>
        <v/>
      </c>
    </row>
    <row r="11">
      <c r="A11" s="12" t="inlineStr">
        <is>
          <t xml:space="preserve">  매출총이익</t>
        </is>
      </c>
      <c r="B11" s="13">
        <f>B7-B10</f>
        <v/>
      </c>
      <c r="C11" s="13">
        <f>C7-C10</f>
        <v/>
      </c>
      <c r="D11" s="13">
        <f>D7-D10</f>
        <v/>
      </c>
      <c r="E11" s="13">
        <f>E7-E10</f>
        <v/>
      </c>
      <c r="F11" s="13">
        <f>F7-F10</f>
        <v/>
      </c>
      <c r="G11" s="13">
        <f>G7-G10</f>
        <v/>
      </c>
      <c r="H11" s="13">
        <f>H7-H10</f>
        <v/>
      </c>
      <c r="I11" s="13">
        <f>I7-I10</f>
        <v/>
      </c>
      <c r="J11" s="13">
        <f>J7-J10</f>
        <v/>
      </c>
    </row>
    <row r="12">
      <c r="A12" s="5" t="inlineStr">
        <is>
          <t>영업비용 ($M)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>
      <c r="A13" s="7" t="inlineStr">
        <is>
          <t xml:space="preserve">    R&amp;D 매출대비 % (가정)</t>
        </is>
      </c>
      <c r="B13" s="10" t="n">
        <v>0.1397</v>
      </c>
      <c r="C13" s="10" t="n">
        <v>0.1478</v>
      </c>
      <c r="D13" s="10" t="n">
        <v>0.1409</v>
      </c>
      <c r="E13" s="10" t="n">
        <v>0.1516</v>
      </c>
      <c r="F13" s="11" t="n">
        <v>0.142</v>
      </c>
      <c r="G13" s="11" t="n">
        <v>0.141</v>
      </c>
      <c r="H13" s="11" t="n">
        <v>0.14</v>
      </c>
      <c r="I13" s="11" t="n">
        <v>0.139</v>
      </c>
      <c r="J13" s="11" t="n">
        <v>0.138</v>
      </c>
    </row>
    <row r="14">
      <c r="A14" s="7" t="inlineStr">
        <is>
          <t xml:space="preserve">  연구개발비</t>
        </is>
      </c>
      <c r="B14" s="9">
        <f>B7*B13</f>
        <v/>
      </c>
      <c r="C14" s="9">
        <f>C7*C13</f>
        <v/>
      </c>
      <c r="D14" s="9">
        <f>D7*D13</f>
        <v/>
      </c>
      <c r="E14" s="9">
        <f>E7*E13</f>
        <v/>
      </c>
      <c r="F14" s="9">
        <f>F7*F13</f>
        <v/>
      </c>
      <c r="G14" s="9">
        <f>G7*G13</f>
        <v/>
      </c>
      <c r="H14" s="9">
        <f>H7*H13</f>
        <v/>
      </c>
      <c r="I14" s="9">
        <f>I7*I13</f>
        <v/>
      </c>
      <c r="J14" s="9">
        <f>J7*J13</f>
        <v/>
      </c>
    </row>
    <row r="15">
      <c r="A15" s="7" t="inlineStr">
        <is>
          <t xml:space="preserve">    판관비 매출대비 % (가정)</t>
        </is>
      </c>
      <c r="B15" s="10" t="n">
        <v>0.1495</v>
      </c>
      <c r="C15" s="10" t="n">
        <v>0.1443</v>
      </c>
      <c r="D15" s="10" t="n">
        <v>0.12</v>
      </c>
      <c r="E15" s="10" t="n">
        <v>0.1246</v>
      </c>
      <c r="F15" s="11" t="n">
        <v>0.112</v>
      </c>
      <c r="G15" s="11" t="n">
        <v>0.11</v>
      </c>
      <c r="H15" s="11" t="n">
        <v>0.108</v>
      </c>
      <c r="I15" s="11" t="n">
        <v>0.107</v>
      </c>
      <c r="J15" s="11" t="n">
        <v>0.106</v>
      </c>
    </row>
    <row r="16">
      <c r="A16" s="7" t="inlineStr">
        <is>
          <t xml:space="preserve">  판매·일반관리비</t>
        </is>
      </c>
      <c r="B16" s="9">
        <f>B7*B15</f>
        <v/>
      </c>
      <c r="C16" s="9">
        <f>C7*C15</f>
        <v/>
      </c>
      <c r="D16" s="9">
        <f>D7*D15</f>
        <v/>
      </c>
      <c r="E16" s="9">
        <f>E7*E15</f>
        <v/>
      </c>
      <c r="F16" s="9">
        <f>F7*F15</f>
        <v/>
      </c>
      <c r="G16" s="9">
        <f>G7*G15</f>
        <v/>
      </c>
      <c r="H16" s="9">
        <f>H7*H15</f>
        <v/>
      </c>
      <c r="I16" s="9">
        <f>I7*I15</f>
        <v/>
      </c>
      <c r="J16" s="9">
        <f>J7*J15</f>
        <v/>
      </c>
    </row>
    <row r="17">
      <c r="A17" s="12" t="inlineStr">
        <is>
          <t xml:space="preserve">  총 영업비용</t>
        </is>
      </c>
      <c r="B17" s="13">
        <f>B14+B16</f>
        <v/>
      </c>
      <c r="C17" s="13">
        <f>C14+C16</f>
        <v/>
      </c>
      <c r="D17" s="13">
        <f>D14+D16</f>
        <v/>
      </c>
      <c r="E17" s="13">
        <f>E14+E16</f>
        <v/>
      </c>
      <c r="F17" s="13">
        <f>F14+F16</f>
        <v/>
      </c>
      <c r="G17" s="13">
        <f>G14+G16</f>
        <v/>
      </c>
      <c r="H17" s="13">
        <f>H14+H16</f>
        <v/>
      </c>
      <c r="I17" s="13">
        <f>I14+I16</f>
        <v/>
      </c>
      <c r="J17" s="13">
        <f>J14+J16</f>
        <v/>
      </c>
    </row>
    <row r="18">
      <c r="A18" s="7" t="inlineStr">
        <is>
          <t xml:space="preserve">    기타 영업항목 (과거 조정)</t>
        </is>
      </c>
      <c r="B18" s="8" t="n">
        <v>0</v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</row>
    <row r="19">
      <c r="A19" s="12" t="inlineStr">
        <is>
          <t xml:space="preserve">  영업이익 (EBIT)</t>
        </is>
      </c>
      <c r="B19" s="13">
        <f>B11-B17-B18</f>
        <v/>
      </c>
      <c r="C19" s="13">
        <f>C11-C17-C18</f>
        <v/>
      </c>
      <c r="D19" s="13">
        <f>D11-D17-D18</f>
        <v/>
      </c>
      <c r="E19" s="13">
        <f>E11-E17-E18</f>
        <v/>
      </c>
      <c r="F19" s="13">
        <f>F11-F17-F18</f>
        <v/>
      </c>
      <c r="G19" s="13">
        <f>G11-G17-G18</f>
        <v/>
      </c>
      <c r="H19" s="13">
        <f>H11-H17-H18</f>
        <v/>
      </c>
      <c r="I19" s="13">
        <f>I11-I17-I18</f>
        <v/>
      </c>
      <c r="J19" s="13">
        <f>J11-J17-J18</f>
        <v/>
      </c>
    </row>
    <row r="20">
      <c r="A20" s="7" t="inlineStr">
        <is>
          <t xml:space="preserve">    영업이익률 %</t>
        </is>
      </c>
      <c r="B20" s="10">
        <f>IF(B7=0,"",B19/B7)</f>
        <v/>
      </c>
      <c r="C20" s="10">
        <f>IF(C7=0,"",C19/C7)</f>
        <v/>
      </c>
      <c r="D20" s="10">
        <f>IF(D7=0,"",D19/D7)</f>
        <v/>
      </c>
      <c r="E20" s="10">
        <f>IF(E7=0,"",E19/E7)</f>
        <v/>
      </c>
      <c r="F20" s="10">
        <f>IF(F7=0,"",F19/F7)</f>
        <v/>
      </c>
      <c r="G20" s="10">
        <f>IF(G7=0,"",G19/G7)</f>
        <v/>
      </c>
      <c r="H20" s="10">
        <f>IF(H7=0,"",H19/H7)</f>
        <v/>
      </c>
      <c r="I20" s="10">
        <f>IF(I7=0,"",I19/I7)</f>
        <v/>
      </c>
      <c r="J20" s="10">
        <f>IF(J7=0,"",J19/J7)</f>
        <v/>
      </c>
    </row>
    <row r="21">
      <c r="A21" s="7" t="inlineStr">
        <is>
          <t xml:space="preserve">  감가상각비</t>
        </is>
      </c>
      <c r="B21" s="8" t="n">
        <v>13475</v>
      </c>
      <c r="C21" s="8" t="n">
        <v>11946</v>
      </c>
      <c r="D21" s="8" t="n">
        <v>15311</v>
      </c>
      <c r="E21" s="8" t="n">
        <v>21136</v>
      </c>
      <c r="F21" s="9">
        <f>F7*0.052</f>
        <v/>
      </c>
      <c r="G21" s="9">
        <f>G7*0.055</f>
        <v/>
      </c>
      <c r="H21" s="9">
        <f>H7*0.057</f>
        <v/>
      </c>
      <c r="I21" s="9">
        <f>I7*0.058</f>
        <v/>
      </c>
      <c r="J21" s="9">
        <f>J7*0.058</f>
        <v/>
      </c>
    </row>
    <row r="22">
      <c r="A22" s="12" t="inlineStr">
        <is>
          <t xml:space="preserve">  EBITDA</t>
        </is>
      </c>
      <c r="B22" s="13">
        <f>B19+B21</f>
        <v/>
      </c>
      <c r="C22" s="13">
        <f>C19+C21</f>
        <v/>
      </c>
      <c r="D22" s="13">
        <f>D19+D21</f>
        <v/>
      </c>
      <c r="E22" s="13">
        <f>E19+E21</f>
        <v/>
      </c>
      <c r="F22" s="13">
        <f>F19+F21</f>
        <v/>
      </c>
      <c r="G22" s="13">
        <f>G19+G21</f>
        <v/>
      </c>
      <c r="H22" s="13">
        <f>H19+H21</f>
        <v/>
      </c>
      <c r="I22" s="13">
        <f>I19+I21</f>
        <v/>
      </c>
      <c r="J22" s="13">
        <f>J19+J21</f>
        <v/>
      </c>
    </row>
    <row r="23">
      <c r="A23" s="7" t="inlineStr">
        <is>
          <t xml:space="preserve">    EBITDA 마진 %</t>
        </is>
      </c>
      <c r="B23" s="10">
        <f>IF(B7=0,"",B22/B7)</f>
        <v/>
      </c>
      <c r="C23" s="10">
        <f>IF(C7=0,"",C22/C7)</f>
        <v/>
      </c>
      <c r="D23" s="10">
        <f>IF(D7=0,"",D22/D7)</f>
        <v/>
      </c>
      <c r="E23" s="10">
        <f>IF(E7=0,"",E22/E7)</f>
        <v/>
      </c>
      <c r="F23" s="10">
        <f>IF(F7=0,"",F22/F7)</f>
        <v/>
      </c>
      <c r="G23" s="10">
        <f>IF(G7=0,"",G22/G7)</f>
        <v/>
      </c>
      <c r="H23" s="10">
        <f>IF(H7=0,"",H22/H7)</f>
        <v/>
      </c>
      <c r="I23" s="10">
        <f>IF(I7=0,"",I22/I7)</f>
        <v/>
      </c>
      <c r="J23" s="10">
        <f>IF(J7=0,"",J22/J7)</f>
        <v/>
      </c>
    </row>
    <row r="24">
      <c r="A24" s="5" t="inlineStr">
        <is>
          <t>영업외손익·법인세 ($M)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</row>
    <row r="25">
      <c r="A25" s="7" t="inlineStr">
        <is>
          <t xml:space="preserve">  순이자·기타손익</t>
        </is>
      </c>
      <c r="B25" s="8" t="n">
        <v>-3514</v>
      </c>
      <c r="C25" s="8" t="n">
        <v>1424</v>
      </c>
      <c r="D25" s="8" t="n">
        <v>7425</v>
      </c>
      <c r="E25" s="8" t="n">
        <v>29787</v>
      </c>
      <c r="F25" s="8" t="n">
        <v>5500</v>
      </c>
      <c r="G25" s="8" t="n">
        <v>5800</v>
      </c>
      <c r="H25" s="8" t="n">
        <v>6100</v>
      </c>
      <c r="I25" s="8" t="n">
        <v>6400</v>
      </c>
      <c r="J25" s="8" t="n">
        <v>6700</v>
      </c>
    </row>
    <row r="26">
      <c r="A26" s="12" t="inlineStr">
        <is>
          <t xml:space="preserve">  세전이익</t>
        </is>
      </c>
      <c r="B26" s="13">
        <f>B19+B25</f>
        <v/>
      </c>
      <c r="C26" s="13">
        <f>C19+C25</f>
        <v/>
      </c>
      <c r="D26" s="13">
        <f>D19+D25</f>
        <v/>
      </c>
      <c r="E26" s="13">
        <f>E19+E25</f>
        <v/>
      </c>
      <c r="F26" s="13">
        <f>F19+F25</f>
        <v/>
      </c>
      <c r="G26" s="13">
        <f>G19+G25</f>
        <v/>
      </c>
      <c r="H26" s="13">
        <f>H19+H25</f>
        <v/>
      </c>
      <c r="I26" s="13">
        <f>I19+I25</f>
        <v/>
      </c>
      <c r="J26" s="13">
        <f>J19+J25</f>
        <v/>
      </c>
    </row>
    <row r="27">
      <c r="A27" s="7" t="inlineStr">
        <is>
          <t xml:space="preserve">    법인세율 % (가정)</t>
        </is>
      </c>
      <c r="B27" s="10" t="n">
        <v>0.1592</v>
      </c>
      <c r="C27" s="10" t="n">
        <v>0.1391</v>
      </c>
      <c r="D27" s="10" t="n">
        <v>0.1644</v>
      </c>
      <c r="E27" s="10" t="n">
        <v>0.1678</v>
      </c>
      <c r="F27" s="11" t="n">
        <v>0.17</v>
      </c>
      <c r="G27" s="11" t="n">
        <v>0.17</v>
      </c>
      <c r="H27" s="11" t="n">
        <v>0.17</v>
      </c>
      <c r="I27" s="11" t="n">
        <v>0.17</v>
      </c>
      <c r="J27" s="11" t="n">
        <v>0.17</v>
      </c>
    </row>
    <row r="28">
      <c r="A28" s="7" t="inlineStr">
        <is>
          <t xml:space="preserve">  법인세비용</t>
        </is>
      </c>
      <c r="B28" s="9">
        <f>B26*B27</f>
        <v/>
      </c>
      <c r="C28" s="9">
        <f>C26*C27</f>
        <v/>
      </c>
      <c r="D28" s="9">
        <f>D26*D27</f>
        <v/>
      </c>
      <c r="E28" s="9">
        <f>E26*E27</f>
        <v/>
      </c>
      <c r="F28" s="9">
        <f>F26*F27</f>
        <v/>
      </c>
      <c r="G28" s="9">
        <f>G26*G27</f>
        <v/>
      </c>
      <c r="H28" s="9">
        <f>H26*H27</f>
        <v/>
      </c>
      <c r="I28" s="9">
        <f>I26*I27</f>
        <v/>
      </c>
      <c r="J28" s="9">
        <f>J26*J27</f>
        <v/>
      </c>
    </row>
    <row r="29">
      <c r="A29" s="12" t="inlineStr">
        <is>
          <t xml:space="preserve">  당기순이익</t>
        </is>
      </c>
      <c r="B29" s="13">
        <f>B26-B28</f>
        <v/>
      </c>
      <c r="C29" s="13">
        <f>C26-C28</f>
        <v/>
      </c>
      <c r="D29" s="13">
        <f>D26-D28</f>
        <v/>
      </c>
      <c r="E29" s="13">
        <f>E26-E28</f>
        <v/>
      </c>
      <c r="F29" s="13">
        <f>F26-F28</f>
        <v/>
      </c>
      <c r="G29" s="13">
        <f>G26-G28</f>
        <v/>
      </c>
      <c r="H29" s="13">
        <f>H26-H28</f>
        <v/>
      </c>
      <c r="I29" s="13">
        <f>I26-I28</f>
        <v/>
      </c>
      <c r="J29" s="13">
        <f>J26-J28</f>
        <v/>
      </c>
    </row>
    <row r="30">
      <c r="A30" s="7" t="inlineStr">
        <is>
          <t xml:space="preserve">    순이익률 %</t>
        </is>
      </c>
      <c r="B30" s="10">
        <f>IF(B7=0,"",B29/B7)</f>
        <v/>
      </c>
      <c r="C30" s="10">
        <f>IF(C7=0,"",C29/C7)</f>
        <v/>
      </c>
      <c r="D30" s="10">
        <f>IF(D7=0,"",D29/D7)</f>
        <v/>
      </c>
      <c r="E30" s="10">
        <f>IF(E7=0,"",E29/E7)</f>
        <v/>
      </c>
      <c r="F30" s="10">
        <f>IF(F7=0,"",F29/F7)</f>
        <v/>
      </c>
      <c r="G30" s="10">
        <f>IF(G7=0,"",G29/G7)</f>
        <v/>
      </c>
      <c r="H30" s="10">
        <f>IF(H7=0,"",H29/H7)</f>
        <v/>
      </c>
      <c r="I30" s="10">
        <f>IF(I7=0,"",I29/I7)</f>
        <v/>
      </c>
      <c r="J30" s="10">
        <f>IF(J7=0,"",J29/J7)</f>
        <v/>
      </c>
    </row>
    <row r="31">
      <c r="A31" s="5" t="inlineStr">
        <is>
          <t>주당지표 (분할 반영)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</row>
    <row r="32">
      <c r="A32" s="7" t="inlineStr">
        <is>
          <t xml:space="preserve">  희석주식수 (백만주)</t>
        </is>
      </c>
      <c r="B32" s="8" t="n">
        <v>13159</v>
      </c>
      <c r="C32" s="8" t="n">
        <v>12722</v>
      </c>
      <c r="D32" s="8" t="n">
        <v>12447</v>
      </c>
      <c r="E32" s="8" t="n">
        <v>12230</v>
      </c>
      <c r="F32" s="9">
        <f>E32*(1-0.018)</f>
        <v/>
      </c>
      <c r="G32" s="9">
        <f>F32*(1-0.018)</f>
        <v/>
      </c>
      <c r="H32" s="9">
        <f>G32*(1-0.018)</f>
        <v/>
      </c>
      <c r="I32" s="9">
        <f>H32*(1-0.018)</f>
        <v/>
      </c>
      <c r="J32" s="9">
        <f>I32*(1-0.018)</f>
        <v/>
      </c>
    </row>
    <row r="33">
      <c r="A33" s="12" t="inlineStr">
        <is>
          <t xml:space="preserve">  희석 EPS</t>
        </is>
      </c>
      <c r="B33" s="15">
        <f>B29/B32</f>
        <v/>
      </c>
      <c r="C33" s="15">
        <f>C29/C32</f>
        <v/>
      </c>
      <c r="D33" s="15">
        <f>D29/D32</f>
        <v/>
      </c>
      <c r="E33" s="15">
        <f>E29/E32</f>
        <v/>
      </c>
      <c r="F33" s="15">
        <f>F29/F32</f>
        <v/>
      </c>
      <c r="G33" s="15">
        <f>G29/G32</f>
        <v/>
      </c>
      <c r="H33" s="15">
        <f>H29/H32</f>
        <v/>
      </c>
      <c r="I33" s="15">
        <f>I29/I32</f>
        <v/>
      </c>
      <c r="J33" s="15">
        <f>J29/J32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1" t="inlineStr">
        <is>
          <t>Alphabet Inc. — 현금흐름표</t>
        </is>
      </c>
    </row>
    <row r="2">
      <c r="A2" s="2" t="inlineStr">
        <is>
          <t>운전자본 변동을 재무상태표에서 링크 → 현금이 정확히 연동 · FCF가 DCF로 연결</t>
        </is>
      </c>
    </row>
    <row r="3">
      <c r="A3" s="2" t="inlineStr">
        <is>
          <t>US$M (달리 표기 없으면) · 회계연도=역년(12월 결산) · 주당지표 20:1 분할 반영 · 파랑=입력 검정=수식 초록=시트링크</t>
        </is>
      </c>
    </row>
    <row r="5">
      <c r="A5" s="3" t="n"/>
      <c r="B5" s="4" t="inlineStr">
        <is>
          <t>FY2022</t>
        </is>
      </c>
      <c r="C5" s="4" t="inlineStr">
        <is>
          <t>FY2023</t>
        </is>
      </c>
      <c r="D5" s="4" t="inlineStr">
        <is>
          <t>FY2024</t>
        </is>
      </c>
      <c r="E5" s="4" t="inlineStr">
        <is>
          <t>FY2025</t>
        </is>
      </c>
      <c r="F5" s="4" t="inlineStr">
        <is>
          <t>FY2026E</t>
        </is>
      </c>
      <c r="G5" s="4" t="inlineStr">
        <is>
          <t>FY2027E</t>
        </is>
      </c>
      <c r="H5" s="4" t="inlineStr">
        <is>
          <t>FY2028E</t>
        </is>
      </c>
      <c r="I5" s="4" t="inlineStr">
        <is>
          <t>FY2029E</t>
        </is>
      </c>
      <c r="J5" s="4" t="inlineStr">
        <is>
          <t>FY2030E</t>
        </is>
      </c>
    </row>
    <row r="6">
      <c r="A6" s="5" t="inlineStr">
        <is>
          <t>영업활동 ($M)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</row>
    <row r="7">
      <c r="A7" s="7" t="inlineStr">
        <is>
          <t xml:space="preserve">  당기순이익</t>
        </is>
      </c>
      <c r="B7" s="16">
        <f>'Income Statement'!B29</f>
        <v/>
      </c>
      <c r="C7" s="16">
        <f>'Income Statement'!C29</f>
        <v/>
      </c>
      <c r="D7" s="16">
        <f>'Income Statement'!D29</f>
        <v/>
      </c>
      <c r="E7" s="16">
        <f>'Income Statement'!E29</f>
        <v/>
      </c>
      <c r="F7" s="16">
        <f>'Income Statement'!F29</f>
        <v/>
      </c>
      <c r="G7" s="16">
        <f>'Income Statement'!G29</f>
        <v/>
      </c>
      <c r="H7" s="16">
        <f>'Income Statement'!H29</f>
        <v/>
      </c>
      <c r="I7" s="16">
        <f>'Income Statement'!I29</f>
        <v/>
      </c>
      <c r="J7" s="16">
        <f>'Income Statement'!J29</f>
        <v/>
      </c>
    </row>
    <row r="8">
      <c r="A8" s="7" t="inlineStr">
        <is>
          <t xml:space="preserve">  감가상각비</t>
        </is>
      </c>
      <c r="B8" s="16">
        <f>'Income Statement'!B21</f>
        <v/>
      </c>
      <c r="C8" s="16">
        <f>'Income Statement'!C21</f>
        <v/>
      </c>
      <c r="D8" s="16">
        <f>'Income Statement'!D21</f>
        <v/>
      </c>
      <c r="E8" s="16">
        <f>'Income Statement'!E21</f>
        <v/>
      </c>
      <c r="F8" s="16">
        <f>'Income Statement'!F21</f>
        <v/>
      </c>
      <c r="G8" s="16">
        <f>'Income Statement'!G21</f>
        <v/>
      </c>
      <c r="H8" s="16">
        <f>'Income Statement'!H21</f>
        <v/>
      </c>
      <c r="I8" s="16">
        <f>'Income Statement'!I21</f>
        <v/>
      </c>
      <c r="J8" s="16">
        <f>'Income Statement'!J21</f>
        <v/>
      </c>
    </row>
    <row r="9">
      <c r="A9" s="7" t="inlineStr">
        <is>
          <t xml:space="preserve">  주식보상비용</t>
        </is>
      </c>
      <c r="B9" s="8" t="n">
        <v>19362</v>
      </c>
      <c r="C9" s="8" t="n">
        <v>22460</v>
      </c>
      <c r="D9" s="8" t="n">
        <v>22785</v>
      </c>
      <c r="E9" s="8" t="n">
        <v>24953</v>
      </c>
      <c r="F9" s="16">
        <f>'Income Statement'!F7*0.048</f>
        <v/>
      </c>
      <c r="G9" s="16">
        <f>'Income Statement'!G7*0.048</f>
        <v/>
      </c>
      <c r="H9" s="16">
        <f>'Income Statement'!H7*0.048</f>
        <v/>
      </c>
      <c r="I9" s="16">
        <f>'Income Statement'!I7*0.048</f>
        <v/>
      </c>
      <c r="J9" s="16">
        <f>'Income Statement'!J7*0.048</f>
        <v/>
      </c>
    </row>
    <row r="10">
      <c r="A10" s="7" t="inlineStr">
        <is>
          <t xml:space="preserve">  운전자본 변동</t>
        </is>
      </c>
      <c r="B10" s="8" t="n">
        <v>-2235</v>
      </c>
      <c r="C10" s="8" t="n">
        <v>-3845</v>
      </c>
      <c r="D10" s="8" t="n">
        <v>-8406</v>
      </c>
      <c r="E10" s="8" t="n">
        <v>618</v>
      </c>
      <c r="F10" s="16">
        <f>-(('Balance Sheet'!F8-'Balance Sheet'!E8)+('Balance Sheet'!F9-'Balance Sheet'!E9)+('Balance Sheet'!F10-'Balance Sheet'!E10))+(('Balance Sheet'!F18-'Balance Sheet'!E18)+('Balance Sheet'!F19-'Balance Sheet'!E19))</f>
        <v/>
      </c>
      <c r="G10" s="16">
        <f>-(('Balance Sheet'!G8-'Balance Sheet'!F8)+('Balance Sheet'!G9-'Balance Sheet'!F9)+('Balance Sheet'!G10-'Balance Sheet'!F10))+(('Balance Sheet'!G18-'Balance Sheet'!F18)+('Balance Sheet'!G19-'Balance Sheet'!F19))</f>
        <v/>
      </c>
      <c r="H10" s="16">
        <f>-(('Balance Sheet'!H8-'Balance Sheet'!G8)+('Balance Sheet'!H9-'Balance Sheet'!G9)+('Balance Sheet'!H10-'Balance Sheet'!G10))+(('Balance Sheet'!H18-'Balance Sheet'!G18)+('Balance Sheet'!H19-'Balance Sheet'!G19))</f>
        <v/>
      </c>
      <c r="I10" s="16">
        <f>-(('Balance Sheet'!I8-'Balance Sheet'!H8)+('Balance Sheet'!I9-'Balance Sheet'!H9)+('Balance Sheet'!I10-'Balance Sheet'!H10))+(('Balance Sheet'!I18-'Balance Sheet'!H18)+('Balance Sheet'!I19-'Balance Sheet'!H19))</f>
        <v/>
      </c>
      <c r="J10" s="16">
        <f>-(('Balance Sheet'!J8-'Balance Sheet'!I8)+('Balance Sheet'!J9-'Balance Sheet'!I9)+('Balance Sheet'!J10-'Balance Sheet'!I10))+(('Balance Sheet'!J18-'Balance Sheet'!I18)+('Balance Sheet'!J19-'Balance Sheet'!I19))</f>
        <v/>
      </c>
    </row>
    <row r="11">
      <c r="A11" s="7" t="inlineStr">
        <is>
          <t xml:space="preserve">  이연법인세·기타 비현금</t>
        </is>
      </c>
      <c r="B11" s="8" t="n">
        <v>921</v>
      </c>
      <c r="C11" s="8" t="n">
        <v>-2610</v>
      </c>
      <c r="D11" s="8" t="n">
        <v>-4509</v>
      </c>
      <c r="E11" s="8" t="n">
        <v>-14164</v>
      </c>
      <c r="F11" s="8" t="n">
        <v>0</v>
      </c>
      <c r="G11" s="8" t="n">
        <v>0</v>
      </c>
      <c r="H11" s="8" t="n">
        <v>0</v>
      </c>
      <c r="I11" s="8" t="n">
        <v>0</v>
      </c>
      <c r="J11" s="8" t="n">
        <v>0</v>
      </c>
    </row>
    <row r="12">
      <c r="A12" s="12" t="inlineStr">
        <is>
          <t xml:space="preserve">  영업활동 현금흐름</t>
        </is>
      </c>
      <c r="B12" s="13">
        <f>B7+B8+B9+B10+B11</f>
        <v/>
      </c>
      <c r="C12" s="13">
        <f>C7+C8+C9+C10+C11</f>
        <v/>
      </c>
      <c r="D12" s="13">
        <f>D7+D8+D9+D10+D11</f>
        <v/>
      </c>
      <c r="E12" s="13">
        <f>E7+E8+E9+E10+E11</f>
        <v/>
      </c>
      <c r="F12" s="13">
        <f>F7+F8+F9+F10+F11</f>
        <v/>
      </c>
      <c r="G12" s="13">
        <f>G7+G8+G9+G10+G11</f>
        <v/>
      </c>
      <c r="H12" s="13">
        <f>H7+H8+H9+H10+H11</f>
        <v/>
      </c>
      <c r="I12" s="13">
        <f>I7+I8+I9+I10+I11</f>
        <v/>
      </c>
      <c r="J12" s="13">
        <f>J7+J8+J9+J10+J11</f>
        <v/>
      </c>
    </row>
    <row r="13">
      <c r="A13" s="5" t="inlineStr">
        <is>
          <t>투자활동 ($M)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>
      <c r="A14" s="7" t="inlineStr">
        <is>
          <t xml:space="preserve">  설비투자 (CapEx)</t>
        </is>
      </c>
      <c r="B14" s="8" t="n">
        <v>-31485</v>
      </c>
      <c r="C14" s="8" t="n">
        <v>-32251</v>
      </c>
      <c r="D14" s="8" t="n">
        <v>-52535</v>
      </c>
      <c r="E14" s="8" t="n">
        <v>-91447</v>
      </c>
      <c r="F14" s="16">
        <f>-'Income Statement'!F7*0.17</f>
        <v/>
      </c>
      <c r="G14" s="16">
        <f>-'Income Statement'!G7*0.16</f>
        <v/>
      </c>
      <c r="H14" s="16">
        <f>-'Income Statement'!H7*0.15</f>
        <v/>
      </c>
      <c r="I14" s="16">
        <f>-'Income Statement'!I7*0.14</f>
        <v/>
      </c>
      <c r="J14" s="16">
        <f>-'Income Statement'!J7*0.135</f>
        <v/>
      </c>
    </row>
    <row r="15">
      <c r="A15" s="12" t="inlineStr">
        <is>
          <t xml:space="preserve">  잉여현금흐름 (FCF)</t>
        </is>
      </c>
      <c r="B15" s="13">
        <f>B12+B14</f>
        <v/>
      </c>
      <c r="C15" s="13">
        <f>C12+C14</f>
        <v/>
      </c>
      <c r="D15" s="13">
        <f>D12+D14</f>
        <v/>
      </c>
      <c r="E15" s="13">
        <f>E12+E14</f>
        <v/>
      </c>
      <c r="F15" s="13">
        <f>F12+F14</f>
        <v/>
      </c>
      <c r="G15" s="13">
        <f>G12+G14</f>
        <v/>
      </c>
      <c r="H15" s="13">
        <f>H12+H14</f>
        <v/>
      </c>
      <c r="I15" s="13">
        <f>I12+I14</f>
        <v/>
      </c>
      <c r="J15" s="13">
        <f>J12+J14</f>
        <v/>
      </c>
    </row>
    <row r="16">
      <c r="A16" s="7" t="inlineStr">
        <is>
          <t xml:space="preserve">    FCF 마진 %</t>
        </is>
      </c>
      <c r="B16" s="17">
        <f>IF('Income Statement'!B7=0,"",B15/'Income Statement'!B7)</f>
        <v/>
      </c>
      <c r="C16" s="17">
        <f>IF('Income Statement'!C7=0,"",C15/'Income Statement'!C7)</f>
        <v/>
      </c>
      <c r="D16" s="17">
        <f>IF('Income Statement'!D7=0,"",D15/'Income Statement'!D7)</f>
        <v/>
      </c>
      <c r="E16" s="17">
        <f>IF('Income Statement'!E7=0,"",E15/'Income Statement'!E7)</f>
        <v/>
      </c>
      <c r="F16" s="17">
        <f>IF('Income Statement'!F7=0,"",F15/'Income Statement'!F7)</f>
        <v/>
      </c>
      <c r="G16" s="17">
        <f>IF('Income Statement'!G7=0,"",G15/'Income Statement'!G7)</f>
        <v/>
      </c>
      <c r="H16" s="17">
        <f>IF('Income Statement'!H7=0,"",H15/'Income Statement'!H7)</f>
        <v/>
      </c>
      <c r="I16" s="17">
        <f>IF('Income Statement'!I7=0,"",I15/'Income Statement'!I7)</f>
        <v/>
      </c>
      <c r="J16" s="17">
        <f>IF('Income Statement'!J7=0,"",J15/'Income Statement'!J7)</f>
        <v/>
      </c>
    </row>
    <row r="17">
      <c r="A17" s="5" t="inlineStr">
        <is>
          <t>재무활동 ($M) — 과거 실적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</row>
    <row r="18">
      <c r="A18" s="7" t="inlineStr">
        <is>
          <t xml:space="preserve">  배당금 지급</t>
        </is>
      </c>
      <c r="B18" s="8" t="n">
        <v>0</v>
      </c>
      <c r="C18" s="8" t="n">
        <v>0</v>
      </c>
      <c r="D18" s="8" t="n">
        <v>-7363</v>
      </c>
      <c r="E18" s="8" t="n">
        <v>-10049</v>
      </c>
    </row>
    <row r="19">
      <c r="A19" s="7" t="inlineStr">
        <is>
          <t xml:space="preserve">  자사주 매입</t>
        </is>
      </c>
      <c r="B19" s="8" t="n">
        <v>-59296</v>
      </c>
      <c r="C19" s="8" t="n">
        <v>-61504</v>
      </c>
      <c r="D19" s="8" t="n">
        <v>-62222</v>
      </c>
      <c r="E19" s="8" t="n">
        <v>-45709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1" t="inlineStr">
        <is>
          <t>Alphabet Inc. — 재무상태표</t>
        </is>
      </c>
    </row>
    <row r="2">
      <c r="A2" s="2" t="inlineStr">
        <is>
          <t>실적(파랑) · 추정은 운전자본=매출연동, 유형자산=CapEx−감가상각, 자본=순이익 누적</t>
        </is>
      </c>
    </row>
    <row r="3">
      <c r="A3" s="2" t="inlineStr">
        <is>
          <t>US$M (달리 표기 없으면) · 회계연도=역년(12월 결산) · 주당지표 20:1 분할 반영 · 파랑=입력 검정=수식 초록=시트링크</t>
        </is>
      </c>
    </row>
    <row r="5">
      <c r="A5" s="3" t="n"/>
      <c r="B5" s="4" t="inlineStr">
        <is>
          <t>FY2022</t>
        </is>
      </c>
      <c r="C5" s="4" t="inlineStr">
        <is>
          <t>FY2023</t>
        </is>
      </c>
      <c r="D5" s="4" t="inlineStr">
        <is>
          <t>FY2024</t>
        </is>
      </c>
      <c r="E5" s="4" t="inlineStr">
        <is>
          <t>FY2025</t>
        </is>
      </c>
      <c r="F5" s="4" t="inlineStr">
        <is>
          <t>FY2026E</t>
        </is>
      </c>
      <c r="G5" s="4" t="inlineStr">
        <is>
          <t>FY2027E</t>
        </is>
      </c>
      <c r="H5" s="4" t="inlineStr">
        <is>
          <t>FY2028E</t>
        </is>
      </c>
      <c r="I5" s="4" t="inlineStr">
        <is>
          <t>FY2029E</t>
        </is>
      </c>
      <c r="J5" s="4" t="inlineStr">
        <is>
          <t>FY2030E</t>
        </is>
      </c>
    </row>
    <row r="6">
      <c r="A6" s="5" t="inlineStr">
        <is>
          <t>자산 ($M)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</row>
    <row r="7">
      <c r="A7" s="7" t="inlineStr">
        <is>
          <t xml:space="preserve">  현금·투자자산</t>
        </is>
      </c>
      <c r="B7" s="8" t="n">
        <v>113762</v>
      </c>
      <c r="C7" s="8" t="n">
        <v>110916</v>
      </c>
      <c r="D7" s="8" t="n">
        <v>95657</v>
      </c>
      <c r="E7" s="8" t="n">
        <v>126843</v>
      </c>
      <c r="F7" s="18">
        <f>E7+'Cash Flow'!F12+'Cash Flow'!F14</f>
        <v/>
      </c>
      <c r="G7" s="18">
        <f>F7+'Cash Flow'!G12+'Cash Flow'!G14</f>
        <v/>
      </c>
      <c r="H7" s="18">
        <f>G7+'Cash Flow'!H12+'Cash Flow'!H14</f>
        <v/>
      </c>
      <c r="I7" s="18">
        <f>H7+'Cash Flow'!I12+'Cash Flow'!I14</f>
        <v/>
      </c>
      <c r="J7" s="18">
        <f>I7+'Cash Flow'!J12+'Cash Flow'!J14</f>
        <v/>
      </c>
    </row>
    <row r="8">
      <c r="A8" s="7" t="inlineStr">
        <is>
          <t xml:space="preserve">  매출채권</t>
        </is>
      </c>
      <c r="B8" s="8" t="n">
        <v>40258</v>
      </c>
      <c r="C8" s="8" t="n">
        <v>47964</v>
      </c>
      <c r="D8" s="8" t="n">
        <v>52340</v>
      </c>
      <c r="E8" s="8" t="n">
        <v>62886</v>
      </c>
      <c r="F8" s="16">
        <f>'Income Statement'!F7*0.1561</f>
        <v/>
      </c>
      <c r="G8" s="16">
        <f>'Income Statement'!G7*0.1561</f>
        <v/>
      </c>
      <c r="H8" s="16">
        <f>'Income Statement'!H7*0.1561</f>
        <v/>
      </c>
      <c r="I8" s="16">
        <f>'Income Statement'!I7*0.1561</f>
        <v/>
      </c>
      <c r="J8" s="16">
        <f>'Income Statement'!J7*0.1561</f>
        <v/>
      </c>
    </row>
    <row r="9">
      <c r="A9" s="7" t="inlineStr">
        <is>
          <t xml:space="preserve">  재고자산</t>
        </is>
      </c>
      <c r="B9" s="8" t="n">
        <v>2670</v>
      </c>
      <c r="C9" s="8" t="n">
        <v>0</v>
      </c>
      <c r="D9" s="8" t="n">
        <v>0</v>
      </c>
      <c r="E9" s="8" t="n">
        <v>0</v>
      </c>
      <c r="F9" s="16">
        <f>'Income Statement'!F7*0.0</f>
        <v/>
      </c>
      <c r="G9" s="16">
        <f>'Income Statement'!G7*0.0</f>
        <v/>
      </c>
      <c r="H9" s="16">
        <f>'Income Statement'!H7*0.0</f>
        <v/>
      </c>
      <c r="I9" s="16">
        <f>'Income Statement'!I7*0.0</f>
        <v/>
      </c>
      <c r="J9" s="16">
        <f>'Income Statement'!J7*0.0</f>
        <v/>
      </c>
    </row>
    <row r="10">
      <c r="A10" s="7" t="inlineStr">
        <is>
          <t xml:space="preserve">  기타 유동자산</t>
        </is>
      </c>
      <c r="B10" s="8" t="n">
        <v>10775</v>
      </c>
      <c r="C10" s="8" t="n">
        <v>12650</v>
      </c>
      <c r="D10" s="8" t="n">
        <v>15714</v>
      </c>
      <c r="E10" s="8" t="n">
        <v>16309</v>
      </c>
      <c r="F10" s="16">
        <f>'Income Statement'!F7*0.0405</f>
        <v/>
      </c>
      <c r="G10" s="16">
        <f>'Income Statement'!G7*0.0405</f>
        <v/>
      </c>
      <c r="H10" s="16">
        <f>'Income Statement'!H7*0.0405</f>
        <v/>
      </c>
      <c r="I10" s="16">
        <f>'Income Statement'!I7*0.0405</f>
        <v/>
      </c>
      <c r="J10" s="16">
        <f>'Income Statement'!J7*0.0405</f>
        <v/>
      </c>
    </row>
    <row r="11">
      <c r="A11" s="12" t="inlineStr">
        <is>
          <t xml:space="preserve">  유동자산 합계</t>
        </is>
      </c>
      <c r="B11" s="13">
        <f>SUM(B7:B10)</f>
        <v/>
      </c>
      <c r="C11" s="13">
        <f>SUM(C7:C10)</f>
        <v/>
      </c>
      <c r="D11" s="13">
        <f>SUM(D7:D10)</f>
        <v/>
      </c>
      <c r="E11" s="13">
        <f>SUM(E7:E10)</f>
        <v/>
      </c>
      <c r="F11" s="13">
        <f>SUM(F7:F10)</f>
        <v/>
      </c>
      <c r="G11" s="13">
        <f>SUM(G7:G10)</f>
        <v/>
      </c>
      <c r="H11" s="13">
        <f>SUM(H7:H10)</f>
        <v/>
      </c>
      <c r="I11" s="13">
        <f>SUM(I7:I10)</f>
        <v/>
      </c>
      <c r="J11" s="13">
        <f>SUM(J7:J10)</f>
        <v/>
      </c>
    </row>
    <row r="12">
      <c r="A12" s="7" t="inlineStr">
        <is>
          <t xml:space="preserve">  유형자산 (순액)</t>
        </is>
      </c>
      <c r="B12" s="8" t="n">
        <v>127049</v>
      </c>
      <c r="C12" s="8" t="n">
        <v>148436</v>
      </c>
      <c r="D12" s="8" t="n">
        <v>184624</v>
      </c>
      <c r="E12" s="8" t="n">
        <v>261818</v>
      </c>
      <c r="F12" s="16">
        <f>E12+'Income Statement'!F7*0.17-'Income Statement'!F21</f>
        <v/>
      </c>
      <c r="G12" s="16">
        <f>F12+'Income Statement'!G7*0.16-'Income Statement'!G21</f>
        <v/>
      </c>
      <c r="H12" s="16">
        <f>G12+'Income Statement'!H7*0.15-'Income Statement'!H21</f>
        <v/>
      </c>
      <c r="I12" s="16">
        <f>H12+'Income Statement'!I7*0.14-'Income Statement'!I21</f>
        <v/>
      </c>
      <c r="J12" s="16">
        <f>I12+'Income Statement'!J7*0.135-'Income Statement'!J21</f>
        <v/>
      </c>
    </row>
    <row r="13">
      <c r="A13" s="7" t="inlineStr">
        <is>
          <t xml:space="preserve">  영업권·무형자산</t>
        </is>
      </c>
      <c r="B13" s="8" t="n">
        <v>28960</v>
      </c>
      <c r="C13" s="8" t="n">
        <v>29198</v>
      </c>
      <c r="D13" s="8" t="n">
        <v>31885</v>
      </c>
      <c r="E13" s="8" t="n">
        <v>33380</v>
      </c>
      <c r="F13" s="8" t="n">
        <v>33380</v>
      </c>
      <c r="G13" s="8" t="n">
        <v>33380</v>
      </c>
      <c r="H13" s="8" t="n">
        <v>33380</v>
      </c>
      <c r="I13" s="8" t="n">
        <v>33380</v>
      </c>
      <c r="J13" s="8" t="n">
        <v>33380</v>
      </c>
    </row>
    <row r="14">
      <c r="A14" s="7" t="inlineStr">
        <is>
          <t xml:space="preserve">  기타 비유동자산</t>
        </is>
      </c>
      <c r="B14" s="8" t="n">
        <v>8707</v>
      </c>
      <c r="C14" s="8" t="n">
        <v>10051</v>
      </c>
      <c r="D14" s="8" t="n">
        <v>14874</v>
      </c>
      <c r="E14" s="8" t="n">
        <v>16245</v>
      </c>
      <c r="F14" s="8" t="n">
        <v>16245</v>
      </c>
      <c r="G14" s="8" t="n">
        <v>16245</v>
      </c>
      <c r="H14" s="8" t="n">
        <v>16245</v>
      </c>
      <c r="I14" s="8" t="n">
        <v>16245</v>
      </c>
      <c r="J14" s="8" t="n">
        <v>16245</v>
      </c>
    </row>
    <row r="15">
      <c r="A15" s="7" t="inlineStr">
        <is>
          <t xml:space="preserve">    기타 자산 (조정)</t>
        </is>
      </c>
      <c r="B15" s="8" t="n">
        <v>33083</v>
      </c>
      <c r="C15" s="8" t="n">
        <v>43177</v>
      </c>
      <c r="D15" s="8" t="n">
        <v>55162</v>
      </c>
      <c r="E15" s="8" t="n">
        <v>77800</v>
      </c>
      <c r="F15" s="8" t="n">
        <v>77800</v>
      </c>
      <c r="G15" s="8" t="n">
        <v>77800</v>
      </c>
      <c r="H15" s="8" t="n">
        <v>77800</v>
      </c>
      <c r="I15" s="8" t="n">
        <v>77800</v>
      </c>
      <c r="J15" s="8" t="n">
        <v>77800</v>
      </c>
    </row>
    <row r="16">
      <c r="A16" s="12" t="inlineStr">
        <is>
          <t xml:space="preserve">  자산총계</t>
        </is>
      </c>
      <c r="B16" s="13">
        <f>B11+B12+B13+B14+B15</f>
        <v/>
      </c>
      <c r="C16" s="13">
        <f>C11+C12+C13+C14+C15</f>
        <v/>
      </c>
      <c r="D16" s="13">
        <f>D11+D12+D13+D14+D15</f>
        <v/>
      </c>
      <c r="E16" s="13">
        <f>E11+E12+E13+E14+E15</f>
        <v/>
      </c>
      <c r="F16" s="13">
        <f>F11+F12+F13+F14+F15</f>
        <v/>
      </c>
      <c r="G16" s="13">
        <f>G11+G12+G13+G14+G15</f>
        <v/>
      </c>
      <c r="H16" s="13">
        <f>H11+H12+H13+H14+H15</f>
        <v/>
      </c>
      <c r="I16" s="13">
        <f>I11+I12+I13+I14+I15</f>
        <v/>
      </c>
      <c r="J16" s="13">
        <f>J11+J12+J13+J14+J15</f>
        <v/>
      </c>
    </row>
    <row r="17">
      <c r="A17" s="5" t="inlineStr">
        <is>
          <t>부채·자본 ($M)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</row>
    <row r="18">
      <c r="A18" s="7" t="inlineStr">
        <is>
          <t xml:space="preserve">  매입채무</t>
        </is>
      </c>
      <c r="B18" s="8" t="n">
        <v>5128</v>
      </c>
      <c r="C18" s="8" t="n">
        <v>7493</v>
      </c>
      <c r="D18" s="8" t="n">
        <v>7987</v>
      </c>
      <c r="E18" s="8" t="n">
        <v>12200</v>
      </c>
      <c r="F18" s="16">
        <f>'Income Statement'!F7*0.0303</f>
        <v/>
      </c>
      <c r="G18" s="16">
        <f>'Income Statement'!G7*0.0303</f>
        <v/>
      </c>
      <c r="H18" s="16">
        <f>'Income Statement'!H7*0.0303</f>
        <v/>
      </c>
      <c r="I18" s="16">
        <f>'Income Statement'!I7*0.0303</f>
        <v/>
      </c>
      <c r="J18" s="16">
        <f>'Income Statement'!J7*0.0303</f>
        <v/>
      </c>
    </row>
    <row r="19">
      <c r="A19" s="7" t="inlineStr">
        <is>
          <t xml:space="preserve">  미지급·기타 유동부채</t>
        </is>
      </c>
      <c r="B19" s="8" t="n">
        <v>33021</v>
      </c>
      <c r="C19" s="8" t="n">
        <v>39980</v>
      </c>
      <c r="D19" s="8" t="n">
        <v>54259</v>
      </c>
      <c r="E19" s="8" t="n">
        <v>64948</v>
      </c>
      <c r="F19" s="16">
        <f>'Income Statement'!F7*0.1612</f>
        <v/>
      </c>
      <c r="G19" s="16">
        <f>'Income Statement'!G7*0.1612</f>
        <v/>
      </c>
      <c r="H19" s="16">
        <f>'Income Statement'!H7*0.1612</f>
        <v/>
      </c>
      <c r="I19" s="16">
        <f>'Income Statement'!I7*0.1612</f>
        <v/>
      </c>
      <c r="J19" s="16">
        <f>'Income Statement'!J7*0.1612</f>
        <v/>
      </c>
    </row>
    <row r="20">
      <c r="A20" s="7" t="inlineStr">
        <is>
          <t xml:space="preserve">  단기차입금</t>
        </is>
      </c>
      <c r="B20" s="8" t="n">
        <v>2477</v>
      </c>
      <c r="C20" s="8" t="n">
        <v>2791</v>
      </c>
      <c r="D20" s="8" t="n">
        <v>2887</v>
      </c>
      <c r="E20" s="8" t="n">
        <v>2887</v>
      </c>
      <c r="F20" s="8" t="n">
        <v>2887</v>
      </c>
      <c r="G20" s="8" t="n">
        <v>2887</v>
      </c>
      <c r="H20" s="8" t="n">
        <v>2887</v>
      </c>
      <c r="I20" s="8" t="n">
        <v>2887</v>
      </c>
      <c r="J20" s="8" t="n">
        <v>2887</v>
      </c>
    </row>
    <row r="21">
      <c r="A21" s="12" t="inlineStr">
        <is>
          <t xml:space="preserve">  유동부채 합계</t>
        </is>
      </c>
      <c r="B21" s="13">
        <f>B18+B19+B20</f>
        <v/>
      </c>
      <c r="C21" s="13">
        <f>C18+C19+C20</f>
        <v/>
      </c>
      <c r="D21" s="13">
        <f>D18+D19+D20</f>
        <v/>
      </c>
      <c r="E21" s="13">
        <f>E18+E19+E20</f>
        <v/>
      </c>
      <c r="F21" s="13">
        <f>F18+F19+F20</f>
        <v/>
      </c>
      <c r="G21" s="13">
        <f>G18+G19+G20</f>
        <v/>
      </c>
      <c r="H21" s="13">
        <f>H18+H19+H20</f>
        <v/>
      </c>
      <c r="I21" s="13">
        <f>I18+I19+I20</f>
        <v/>
      </c>
      <c r="J21" s="13">
        <f>J18+J19+J20</f>
        <v/>
      </c>
    </row>
    <row r="22">
      <c r="A22" s="7" t="inlineStr">
        <is>
          <t xml:space="preserve">  장기차입금</t>
        </is>
      </c>
      <c r="B22" s="8" t="n">
        <v>12857</v>
      </c>
      <c r="C22" s="8" t="n">
        <v>11870</v>
      </c>
      <c r="D22" s="8" t="n">
        <v>10883</v>
      </c>
      <c r="E22" s="8" t="n">
        <v>46547</v>
      </c>
      <c r="F22" s="8" t="n">
        <v>46547</v>
      </c>
      <c r="G22" s="8" t="n">
        <v>46547</v>
      </c>
      <c r="H22" s="8" t="n">
        <v>46547</v>
      </c>
      <c r="I22" s="8" t="n">
        <v>46547</v>
      </c>
      <c r="J22" s="8" t="n">
        <v>46547</v>
      </c>
    </row>
    <row r="23">
      <c r="A23" s="7" t="inlineStr">
        <is>
          <t xml:space="preserve">  기타 비유동부채</t>
        </is>
      </c>
      <c r="B23" s="8" t="n">
        <v>2247</v>
      </c>
      <c r="C23" s="8" t="n">
        <v>4395</v>
      </c>
      <c r="D23" s="8" t="n">
        <v>4694</v>
      </c>
      <c r="E23" s="8" t="n">
        <v>8449</v>
      </c>
      <c r="F23" s="8" t="n">
        <v>8449</v>
      </c>
      <c r="G23" s="8" t="n">
        <v>8449</v>
      </c>
      <c r="H23" s="8" t="n">
        <v>8449</v>
      </c>
      <c r="I23" s="8" t="n">
        <v>8449</v>
      </c>
      <c r="J23" s="8" t="n">
        <v>8449</v>
      </c>
    </row>
    <row r="24">
      <c r="A24" s="7" t="inlineStr">
        <is>
          <t xml:space="preserve">    기타 부채 (조정)</t>
        </is>
      </c>
      <c r="B24" s="8" t="n">
        <v>53390</v>
      </c>
      <c r="C24" s="8" t="n">
        <v>52484</v>
      </c>
      <c r="D24" s="8" t="n">
        <v>44462</v>
      </c>
      <c r="E24" s="8" t="n">
        <v>44985</v>
      </c>
      <c r="F24" s="8" t="n">
        <v>44985</v>
      </c>
      <c r="G24" s="8" t="n">
        <v>44985</v>
      </c>
      <c r="H24" s="8" t="n">
        <v>44985</v>
      </c>
      <c r="I24" s="8" t="n">
        <v>44985</v>
      </c>
      <c r="J24" s="8" t="n">
        <v>44985</v>
      </c>
    </row>
    <row r="25">
      <c r="A25" s="12" t="inlineStr">
        <is>
          <t xml:space="preserve">  부채총계</t>
        </is>
      </c>
      <c r="B25" s="13">
        <f>B21+B22+B23+B24</f>
        <v/>
      </c>
      <c r="C25" s="13">
        <f>C21+C22+C23+C24</f>
        <v/>
      </c>
      <c r="D25" s="13">
        <f>D21+D22+D23+D24</f>
        <v/>
      </c>
      <c r="E25" s="13">
        <f>E21+E22+E23+E24</f>
        <v/>
      </c>
      <c r="F25" s="13">
        <f>F21+F22+F23+F24</f>
        <v/>
      </c>
      <c r="G25" s="13">
        <f>G21+G22+G23+G24</f>
        <v/>
      </c>
      <c r="H25" s="13">
        <f>H21+H22+H23+H24</f>
        <v/>
      </c>
      <c r="I25" s="13">
        <f>I21+I22+I23+I24</f>
        <v/>
      </c>
      <c r="J25" s="13">
        <f>J21+J22+J23+J24</f>
        <v/>
      </c>
    </row>
    <row r="26">
      <c r="A26" s="12" t="inlineStr">
        <is>
          <t xml:space="preserve">  자본총계</t>
        </is>
      </c>
      <c r="B26" s="19" t="n">
        <v>256144</v>
      </c>
      <c r="C26" s="19" t="n">
        <v>283379</v>
      </c>
      <c r="D26" s="19" t="n">
        <v>325084</v>
      </c>
      <c r="E26" s="19" t="n">
        <v>415265</v>
      </c>
      <c r="F26" s="20">
        <f>E26+'Income Statement'!F29+'Income Statement'!F7*0.048</f>
        <v/>
      </c>
      <c r="G26" s="20">
        <f>F26+'Income Statement'!G29+'Income Statement'!G7*0.048</f>
        <v/>
      </c>
      <c r="H26" s="20">
        <f>G26+'Income Statement'!H29+'Income Statement'!H7*0.048</f>
        <v/>
      </c>
      <c r="I26" s="20">
        <f>H26+'Income Statement'!I29+'Income Statement'!I7*0.048</f>
        <v/>
      </c>
      <c r="J26" s="20">
        <f>I26+'Income Statement'!J29+'Income Statement'!J7*0.048</f>
        <v/>
      </c>
    </row>
    <row r="27">
      <c r="A27" s="12" t="inlineStr">
        <is>
          <t xml:space="preserve">  부채·자본 총계</t>
        </is>
      </c>
      <c r="B27" s="13">
        <f>B25+B26</f>
        <v/>
      </c>
      <c r="C27" s="13">
        <f>C25+C26</f>
        <v/>
      </c>
      <c r="D27" s="13">
        <f>D25+D26</f>
        <v/>
      </c>
      <c r="E27" s="13">
        <f>E25+E26</f>
        <v/>
      </c>
      <c r="F27" s="13">
        <f>F25+F26</f>
        <v/>
      </c>
      <c r="G27" s="13">
        <f>G25+G26</f>
        <v/>
      </c>
      <c r="H27" s="13">
        <f>H25+H26</f>
        <v/>
      </c>
      <c r="I27" s="13">
        <f>I25+I26</f>
        <v/>
      </c>
      <c r="J27" s="13">
        <f>J25+J26</f>
        <v/>
      </c>
    </row>
    <row r="28">
      <c r="A28" s="7" t="inlineStr">
        <is>
          <t xml:space="preserve">  균형 검산 (자산−부채−자본)</t>
        </is>
      </c>
      <c r="B28" s="9">
        <f>B16-B27</f>
        <v/>
      </c>
      <c r="C28" s="9">
        <f>C16-C27</f>
        <v/>
      </c>
      <c r="D28" s="9">
        <f>D16-D27</f>
        <v/>
      </c>
      <c r="E28" s="9">
        <f>E16-E27</f>
        <v/>
      </c>
      <c r="F28" s="9">
        <f>F16-F27</f>
        <v/>
      </c>
      <c r="G28" s="9">
        <f>G16-G27</f>
        <v/>
      </c>
      <c r="H28" s="9">
        <f>H16-H27</f>
        <v/>
      </c>
      <c r="I28" s="9">
        <f>I16-I27</f>
        <v/>
      </c>
      <c r="J28" s="9">
        <f>J16-J27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Alphabet Inc. — 시나리오 분석</t>
        </is>
      </c>
    </row>
    <row r="2">
      <c r="A2" s="2" t="inlineStr">
        <is>
          <t>FY2030E 기준 낙관/기본/비관 · 기본=모델 링크, 낙관·비관=파란색 민감도 입력</t>
        </is>
      </c>
    </row>
    <row r="4">
      <c r="A4" s="3" t="n"/>
      <c r="B4" s="4" t="inlineStr">
        <is>
          <t>낙관</t>
        </is>
      </c>
      <c r="C4" s="4" t="inlineStr">
        <is>
          <t>기본</t>
        </is>
      </c>
      <c r="D4" s="4" t="inlineStr">
        <is>
          <t>비관</t>
        </is>
      </c>
    </row>
    <row r="5">
      <c r="A5" s="5" t="inlineStr">
        <is>
          <t>가정</t>
        </is>
      </c>
      <c r="B5" s="6" t="n"/>
      <c r="C5" s="6" t="n"/>
      <c r="D5" s="6" t="n"/>
    </row>
    <row r="6">
      <c r="A6" s="21" t="inlineStr">
        <is>
          <t xml:space="preserve">    5년 매출 CAGR (FY25→30)</t>
        </is>
      </c>
      <c r="B6" s="11" t="n">
        <v>0.21</v>
      </c>
      <c r="C6" s="17">
        <f>('Revenue Model'!J19/'Revenue Model'!E19)^(1/5)-1</f>
        <v/>
      </c>
      <c r="D6" s="11" t="n">
        <v>0.11</v>
      </c>
    </row>
    <row r="7">
      <c r="A7" s="21" t="inlineStr">
        <is>
          <t xml:space="preserve">    FY2030E EBITDA 마진</t>
        </is>
      </c>
      <c r="B7" s="11" t="n">
        <v>0.46</v>
      </c>
      <c r="C7" s="17">
        <f>'Income Statement'!J22/'Income Statement'!J7</f>
        <v/>
      </c>
      <c r="D7" s="11" t="n">
        <v>0.36</v>
      </c>
    </row>
    <row r="8">
      <c r="A8" s="21" t="inlineStr">
        <is>
          <t xml:space="preserve">    FY2030E 순이익률</t>
        </is>
      </c>
      <c r="B8" s="11" t="n">
        <v>0.32</v>
      </c>
      <c r="C8" s="17">
        <f>'Income Statement'!J29/'Income Statement'!J7</f>
        <v/>
      </c>
      <c r="D8" s="11" t="n">
        <v>0.24</v>
      </c>
    </row>
    <row r="9">
      <c r="A9" s="21" t="inlineStr">
        <is>
          <t xml:space="preserve">    FY2030E FCF 마진</t>
        </is>
      </c>
      <c r="B9" s="11" t="n">
        <v>0.26</v>
      </c>
      <c r="C9" s="17">
        <f>'Cash Flow'!J15/'Income Statement'!J7</f>
        <v/>
      </c>
      <c r="D9" s="11" t="n">
        <v>0.15</v>
      </c>
    </row>
    <row r="11">
      <c r="A11" s="5" t="inlineStr">
        <is>
          <t>매출 경로 ($M)</t>
        </is>
      </c>
      <c r="B11" s="6" t="n"/>
      <c r="C11" s="6" t="n"/>
      <c r="D11" s="6" t="n"/>
    </row>
    <row r="12">
      <c r="A12" s="21" t="inlineStr">
        <is>
          <t xml:space="preserve">    FY2025 매출 (기준)</t>
        </is>
      </c>
      <c r="B12" s="16">
        <f>'Revenue Model'!E19</f>
        <v/>
      </c>
      <c r="C12" s="16">
        <f>'Revenue Model'!E19</f>
        <v/>
      </c>
      <c r="D12" s="16">
        <f>'Revenue Model'!E19</f>
        <v/>
      </c>
    </row>
    <row r="13">
      <c r="A13" s="21" t="inlineStr">
        <is>
          <t xml:space="preserve">    FY2026E 매출</t>
        </is>
      </c>
      <c r="B13" s="9">
        <f>B12*(1+B6)</f>
        <v/>
      </c>
      <c r="C13" s="16">
        <f>'Revenue Model'!F19</f>
        <v/>
      </c>
      <c r="D13" s="9">
        <f>D12*(1+D6)</f>
        <v/>
      </c>
    </row>
    <row r="14">
      <c r="A14" s="21" t="inlineStr">
        <is>
          <t xml:space="preserve">    FY2027E 매출</t>
        </is>
      </c>
      <c r="B14" s="9">
        <f>B13*(1+B6)</f>
        <v/>
      </c>
      <c r="C14" s="16">
        <f>'Revenue Model'!G19</f>
        <v/>
      </c>
      <c r="D14" s="9">
        <f>D13*(1+D6)</f>
        <v/>
      </c>
    </row>
    <row r="15">
      <c r="A15" s="21" t="inlineStr">
        <is>
          <t xml:space="preserve">    FY2028E 매출</t>
        </is>
      </c>
      <c r="B15" s="9">
        <f>B14*(1+B6)</f>
        <v/>
      </c>
      <c r="C15" s="16">
        <f>'Revenue Model'!H19</f>
        <v/>
      </c>
      <c r="D15" s="9">
        <f>D14*(1+D6)</f>
        <v/>
      </c>
    </row>
    <row r="16">
      <c r="A16" s="21" t="inlineStr">
        <is>
          <t xml:space="preserve">    FY2029E 매출</t>
        </is>
      </c>
      <c r="B16" s="9">
        <f>B15*(1+B6)</f>
        <v/>
      </c>
      <c r="C16" s="16">
        <f>'Revenue Model'!I19</f>
        <v/>
      </c>
      <c r="D16" s="9">
        <f>D15*(1+D6)</f>
        <v/>
      </c>
    </row>
    <row r="17">
      <c r="A17" s="21" t="inlineStr">
        <is>
          <t xml:space="preserve">    FY2030E 매출</t>
        </is>
      </c>
      <c r="B17" s="9">
        <f>B16*(1+B6)</f>
        <v/>
      </c>
      <c r="C17" s="16">
        <f>'Revenue Model'!J19</f>
        <v/>
      </c>
      <c r="D17" s="9">
        <f>D16*(1+D6)</f>
        <v/>
      </c>
    </row>
    <row r="19">
      <c r="A19" s="5" t="inlineStr">
        <is>
          <t>FY2030E 결과</t>
        </is>
      </c>
      <c r="B19" s="6" t="n"/>
      <c r="C19" s="6" t="n"/>
      <c r="D19" s="6" t="n"/>
    </row>
    <row r="20">
      <c r="A20" s="22" t="inlineStr">
        <is>
          <t xml:space="preserve">  매출</t>
        </is>
      </c>
      <c r="B20" s="13">
        <f>B17</f>
        <v/>
      </c>
      <c r="C20" s="13">
        <f>C17</f>
        <v/>
      </c>
      <c r="D20" s="13">
        <f>D17</f>
        <v/>
      </c>
    </row>
    <row r="21">
      <c r="A21" s="21" t="inlineStr">
        <is>
          <t xml:space="preserve">  EBITDA</t>
        </is>
      </c>
      <c r="B21" s="9">
        <f>B17*B7</f>
        <v/>
      </c>
      <c r="C21" s="16">
        <f>'Income Statement'!J22</f>
        <v/>
      </c>
      <c r="D21" s="9">
        <f>D17*D7</f>
        <v/>
      </c>
    </row>
    <row r="22">
      <c r="A22" s="21" t="inlineStr">
        <is>
          <t xml:space="preserve">  당기순이익</t>
        </is>
      </c>
      <c r="B22" s="9">
        <f>B17*B8</f>
        <v/>
      </c>
      <c r="C22" s="16">
        <f>'Income Statement'!J29</f>
        <v/>
      </c>
      <c r="D22" s="9">
        <f>D17*D8</f>
        <v/>
      </c>
    </row>
    <row r="23">
      <c r="A23" s="22" t="inlineStr">
        <is>
          <t xml:space="preserve">  희석 EPS</t>
        </is>
      </c>
      <c r="B23" s="23">
        <f>B22/'Income Statement'!J32</f>
        <v/>
      </c>
      <c r="C23" s="23">
        <f>'Income Statement'!J33</f>
        <v/>
      </c>
      <c r="D23" s="23">
        <f>D22/'Income Statement'!J32</f>
        <v/>
      </c>
    </row>
    <row r="24">
      <c r="A24" s="21" t="inlineStr">
        <is>
          <t xml:space="preserve">  잉여현금흐름</t>
        </is>
      </c>
      <c r="B24" s="9">
        <f>B17*B9</f>
        <v/>
      </c>
      <c r="C24" s="16">
        <f>'Cash Flow'!J15</f>
        <v/>
      </c>
      <c r="D24" s="9">
        <f>D17*D9</f>
        <v/>
      </c>
    </row>
    <row r="25">
      <c r="A25" s="22" t="inlineStr">
        <is>
          <t xml:space="preserve">  누적 FCF FY26-30</t>
        </is>
      </c>
      <c r="B25" s="13">
        <f>(B13+B14+B15+B16+B17)*B9</f>
        <v/>
      </c>
      <c r="C25" s="14">
        <f>SUM('Cash Flow'!F15:'Cash Flow'!J15)</f>
        <v/>
      </c>
      <c r="D25" s="13">
        <f>(D13+D14+D15+D16+D17)*D9</f>
        <v/>
      </c>
    </row>
    <row r="27">
      <c r="A27" s="2" t="inlineStr">
        <is>
          <t>낙관: 클라우드 초고성장 + 검색 점유율 방어 + AI 수익화 조기화.  기본: 클라우드 감속 성장, 검색 견조, AI 자본지출 부담 지속.  비관: 검색 점유율 잠식 + 규제 제재 + 클라우드 경쟁 심화로 마진 압박.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9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1" t="inlineStr">
        <is>
          <t>Alphabet Inc. — DCF 입력값</t>
        </is>
      </c>
    </row>
    <row r="2">
      <c r="A2" s="2" t="inlineStr">
        <is>
          <t>무차입 FCF = NOPAT + 감가상각 − CapEx + 운전자본변동 · WACC 블록은 파란색 입력</t>
        </is>
      </c>
    </row>
    <row r="3">
      <c r="A3" s="2" t="inlineStr">
        <is>
          <t>US$M (달리 표기 없으면) · 회계연도=역년(12월 결산) · 주당지표 20:1 분할 반영 · 파랑=입력 검정=수식 초록=시트링크</t>
        </is>
      </c>
    </row>
    <row r="5">
      <c r="A5" s="3" t="n"/>
      <c r="B5" s="4" t="inlineStr">
        <is>
          <t>FY2022</t>
        </is>
      </c>
      <c r="C5" s="4" t="inlineStr">
        <is>
          <t>FY2023</t>
        </is>
      </c>
      <c r="D5" s="4" t="inlineStr">
        <is>
          <t>FY2024</t>
        </is>
      </c>
      <c r="E5" s="4" t="inlineStr">
        <is>
          <t>FY2025</t>
        </is>
      </c>
      <c r="F5" s="4" t="inlineStr">
        <is>
          <t>FY2026E</t>
        </is>
      </c>
      <c r="G5" s="4" t="inlineStr">
        <is>
          <t>FY2027E</t>
        </is>
      </c>
      <c r="H5" s="4" t="inlineStr">
        <is>
          <t>FY2028E</t>
        </is>
      </c>
      <c r="I5" s="4" t="inlineStr">
        <is>
          <t>FY2029E</t>
        </is>
      </c>
      <c r="J5" s="4" t="inlineStr">
        <is>
          <t>FY2030E</t>
        </is>
      </c>
    </row>
    <row r="6">
      <c r="A6" s="5" t="inlineStr">
        <is>
          <t>무차입 잉여현금흐름 ($M)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</row>
    <row r="7">
      <c r="A7" s="7" t="inlineStr">
        <is>
          <t xml:space="preserve">  EBIT</t>
        </is>
      </c>
      <c r="B7" s="16">
        <f>'Income Statement'!B19</f>
        <v/>
      </c>
      <c r="C7" s="16">
        <f>'Income Statement'!C19</f>
        <v/>
      </c>
      <c r="D7" s="16">
        <f>'Income Statement'!D19</f>
        <v/>
      </c>
      <c r="E7" s="16">
        <f>'Income Statement'!E19</f>
        <v/>
      </c>
      <c r="F7" s="16">
        <f>'Income Statement'!F19</f>
        <v/>
      </c>
      <c r="G7" s="16">
        <f>'Income Statement'!G19</f>
        <v/>
      </c>
      <c r="H7" s="16">
        <f>'Income Statement'!H19</f>
        <v/>
      </c>
      <c r="I7" s="16">
        <f>'Income Statement'!I19</f>
        <v/>
      </c>
      <c r="J7" s="16">
        <f>'Income Statement'!J19</f>
        <v/>
      </c>
    </row>
    <row r="8">
      <c r="A8" s="7" t="inlineStr">
        <is>
          <t xml:space="preserve">  법인세율 %</t>
        </is>
      </c>
      <c r="B8" s="17">
        <f>'Income Statement'!B27</f>
        <v/>
      </c>
      <c r="C8" s="17">
        <f>'Income Statement'!C27</f>
        <v/>
      </c>
      <c r="D8" s="17">
        <f>'Income Statement'!D27</f>
        <v/>
      </c>
      <c r="E8" s="17">
        <f>'Income Statement'!E27</f>
        <v/>
      </c>
      <c r="F8" s="17">
        <f>'Income Statement'!F27</f>
        <v/>
      </c>
      <c r="G8" s="17">
        <f>'Income Statement'!G27</f>
        <v/>
      </c>
      <c r="H8" s="17">
        <f>'Income Statement'!H27</f>
        <v/>
      </c>
      <c r="I8" s="17">
        <f>'Income Statement'!I27</f>
        <v/>
      </c>
      <c r="J8" s="17">
        <f>'Income Statement'!J27</f>
        <v/>
      </c>
    </row>
    <row r="9">
      <c r="A9" s="12" t="inlineStr">
        <is>
          <t xml:space="preserve">  세후영업이익 (NOPAT)</t>
        </is>
      </c>
      <c r="B9" s="13">
        <f>B7*(1-B8)</f>
        <v/>
      </c>
      <c r="C9" s="13">
        <f>C7*(1-C8)</f>
        <v/>
      </c>
      <c r="D9" s="13">
        <f>D7*(1-D8)</f>
        <v/>
      </c>
      <c r="E9" s="13">
        <f>E7*(1-E8)</f>
        <v/>
      </c>
      <c r="F9" s="13">
        <f>F7*(1-F8)</f>
        <v/>
      </c>
      <c r="G9" s="13">
        <f>G7*(1-G8)</f>
        <v/>
      </c>
      <c r="H9" s="13">
        <f>H7*(1-H8)</f>
        <v/>
      </c>
      <c r="I9" s="13">
        <f>I7*(1-I8)</f>
        <v/>
      </c>
      <c r="J9" s="13">
        <f>J7*(1-J8)</f>
        <v/>
      </c>
    </row>
    <row r="10">
      <c r="A10" s="7" t="inlineStr">
        <is>
          <t xml:space="preserve">  (+) 감가상각비</t>
        </is>
      </c>
      <c r="B10" s="16">
        <f>'Cash Flow'!B8</f>
        <v/>
      </c>
      <c r="C10" s="16">
        <f>'Cash Flow'!C8</f>
        <v/>
      </c>
      <c r="D10" s="16">
        <f>'Cash Flow'!D8</f>
        <v/>
      </c>
      <c r="E10" s="16">
        <f>'Cash Flow'!E8</f>
        <v/>
      </c>
      <c r="F10" s="16">
        <f>'Cash Flow'!F8</f>
        <v/>
      </c>
      <c r="G10" s="16">
        <f>'Cash Flow'!G8</f>
        <v/>
      </c>
      <c r="H10" s="16">
        <f>'Cash Flow'!H8</f>
        <v/>
      </c>
      <c r="I10" s="16">
        <f>'Cash Flow'!I8</f>
        <v/>
      </c>
      <c r="J10" s="16">
        <f>'Cash Flow'!J8</f>
        <v/>
      </c>
    </row>
    <row r="11">
      <c r="A11" s="7" t="inlineStr">
        <is>
          <t xml:space="preserve">  (+) CapEx (음수)</t>
        </is>
      </c>
      <c r="B11" s="16">
        <f>'Cash Flow'!B14</f>
        <v/>
      </c>
      <c r="C11" s="16">
        <f>'Cash Flow'!C14</f>
        <v/>
      </c>
      <c r="D11" s="16">
        <f>'Cash Flow'!D14</f>
        <v/>
      </c>
      <c r="E11" s="16">
        <f>'Cash Flow'!E14</f>
        <v/>
      </c>
      <c r="F11" s="16">
        <f>'Cash Flow'!F14</f>
        <v/>
      </c>
      <c r="G11" s="16">
        <f>'Cash Flow'!G14</f>
        <v/>
      </c>
      <c r="H11" s="16">
        <f>'Cash Flow'!H14</f>
        <v/>
      </c>
      <c r="I11" s="16">
        <f>'Cash Flow'!I14</f>
        <v/>
      </c>
      <c r="J11" s="16">
        <f>'Cash Flow'!J14</f>
        <v/>
      </c>
    </row>
    <row r="12">
      <c r="A12" s="7" t="inlineStr">
        <is>
          <t xml:space="preserve">  (+) 운전자본 변동</t>
        </is>
      </c>
      <c r="B12" s="16">
        <f>'Cash Flow'!B10</f>
        <v/>
      </c>
      <c r="C12" s="16">
        <f>'Cash Flow'!C10</f>
        <v/>
      </c>
      <c r="D12" s="16">
        <f>'Cash Flow'!D10</f>
        <v/>
      </c>
      <c r="E12" s="16">
        <f>'Cash Flow'!E10</f>
        <v/>
      </c>
      <c r="F12" s="16">
        <f>'Cash Flow'!F10</f>
        <v/>
      </c>
      <c r="G12" s="16">
        <f>'Cash Flow'!G10</f>
        <v/>
      </c>
      <c r="H12" s="16">
        <f>'Cash Flow'!H10</f>
        <v/>
      </c>
      <c r="I12" s="16">
        <f>'Cash Flow'!I10</f>
        <v/>
      </c>
      <c r="J12" s="16">
        <f>'Cash Flow'!J10</f>
        <v/>
      </c>
    </row>
    <row r="13">
      <c r="A13" s="12" t="inlineStr">
        <is>
          <t xml:space="preserve">  무차입 FCF</t>
        </is>
      </c>
      <c r="B13" s="13">
        <f>B9+B10+B11+B12</f>
        <v/>
      </c>
      <c r="C13" s="13">
        <f>C9+C10+C11+C12</f>
        <v/>
      </c>
      <c r="D13" s="13">
        <f>D9+D10+D11+D12</f>
        <v/>
      </c>
      <c r="E13" s="13">
        <f>E9+E10+E11+E12</f>
        <v/>
      </c>
      <c r="F13" s="13">
        <f>F9+F10+F11+F12</f>
        <v/>
      </c>
      <c r="G13" s="13">
        <f>G9+G10+G11+G12</f>
        <v/>
      </c>
      <c r="H13" s="13">
        <f>H9+H10+H11+H12</f>
        <v/>
      </c>
      <c r="I13" s="13">
        <f>I9+I10+I11+I12</f>
        <v/>
      </c>
      <c r="J13" s="13">
        <f>J9+J10+J11+J12</f>
        <v/>
      </c>
    </row>
    <row r="14"/>
    <row r="15">
      <c r="A15" s="5" t="inlineStr">
        <is>
          <t>밸류에이션 가정 (Task 3 입력 — 파란색)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>
      <c r="A16" s="21" t="inlineStr">
        <is>
          <t>무위험수익률</t>
        </is>
      </c>
      <c r="B16" s="11" t="n">
        <v>0.043</v>
      </c>
    </row>
    <row r="17">
      <c r="A17" s="21" t="inlineStr">
        <is>
          <t>주식위험프리미엄</t>
        </is>
      </c>
      <c r="B17" s="11" t="n">
        <v>0.05</v>
      </c>
    </row>
    <row r="18">
      <c r="A18" s="21" t="inlineStr">
        <is>
          <t>베타</t>
        </is>
      </c>
      <c r="B18" s="24" t="n">
        <v>1.05</v>
      </c>
    </row>
    <row r="19">
      <c r="A19" s="21" t="inlineStr">
        <is>
          <t>자기자본비용</t>
        </is>
      </c>
      <c r="B19" s="10">
        <f>B16+B18*B17</f>
        <v/>
      </c>
    </row>
    <row r="20">
      <c r="A20" s="21" t="inlineStr">
        <is>
          <t>세후 타인자본비용</t>
        </is>
      </c>
      <c r="B20" s="11" t="n">
        <v>0.03</v>
      </c>
    </row>
    <row r="21">
      <c r="A21" s="21" t="inlineStr">
        <is>
          <t>자기자본 비중</t>
        </is>
      </c>
      <c r="B21" s="11" t="n">
        <v>0.98</v>
      </c>
    </row>
    <row r="22">
      <c r="A22" s="21" t="inlineStr">
        <is>
          <t>타인자본 비중</t>
        </is>
      </c>
      <c r="B22" s="11" t="n">
        <v>0.02</v>
      </c>
    </row>
    <row r="23">
      <c r="A23" s="21" t="inlineStr">
        <is>
          <t>WACC</t>
        </is>
      </c>
      <c r="B23" s="10">
        <f>B19*B21+B20*B22</f>
        <v/>
      </c>
    </row>
    <row r="24">
      <c r="A24" s="21" t="inlineStr">
        <is>
          <t>영구성장률</t>
        </is>
      </c>
      <c r="B24" s="11" t="n">
        <v>0.03</v>
      </c>
    </row>
    <row r="25">
      <c r="A25" s="21" t="inlineStr">
        <is>
          <t>희석주식수 (백만주, FY2025)</t>
        </is>
      </c>
      <c r="B25" s="25" t="n">
        <v>12230</v>
      </c>
    </row>
    <row r="26">
      <c r="A26" s="21" t="inlineStr">
        <is>
          <t>순현금 (FY2025, $M)</t>
        </is>
      </c>
      <c r="B26" s="25" t="n">
        <v>77409</v>
      </c>
    </row>
    <row r="27">
      <c r="A27" s="21" t="inlineStr">
        <is>
          <t>현재주가 ($)</t>
        </is>
      </c>
      <c r="B27" s="26" t="n">
        <v>354.46</v>
      </c>
    </row>
    <row r="28"/>
    <row r="29">
      <c r="A29" s="2" t="inlineStr">
        <is>
          <t>무차입 FCF 행: 본 시트 13행 · 터미널 연도 = FY2030E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32" customWidth="1" min="1" max="1"/>
  </cols>
  <sheetData>
    <row r="1">
      <c r="A1" s="27" t="inlineStr">
        <is>
          <t>Alphabet — DCF</t>
        </is>
      </c>
    </row>
    <row r="2">
      <c r="A2" s="2" t="inlineStr">
        <is>
          <t>현금흐름할인 — DCF 입력 시트에 연결된 라이브 수식</t>
        </is>
      </c>
    </row>
    <row r="4">
      <c r="A4" s="28" t="inlineStr">
        <is>
          <t>무차입 FCF ($M)</t>
        </is>
      </c>
      <c r="B4" s="4" t="inlineStr">
        <is>
          <t>FY2026E</t>
        </is>
      </c>
      <c r="C4" s="4" t="inlineStr">
        <is>
          <t>FY2027E</t>
        </is>
      </c>
      <c r="D4" s="4" t="inlineStr">
        <is>
          <t>FY2028E</t>
        </is>
      </c>
      <c r="E4" s="4" t="inlineStr">
        <is>
          <t>FY2029E</t>
        </is>
      </c>
      <c r="F4" s="4" t="inlineStr">
        <is>
          <t>FY2030E</t>
        </is>
      </c>
    </row>
    <row r="5">
      <c r="A5" s="28" t="inlineStr">
        <is>
          <t>무차입 FCF</t>
        </is>
      </c>
      <c r="B5" s="16">
        <f>'DCF Inputs'!F13</f>
        <v/>
      </c>
      <c r="C5" s="16">
        <f>'DCF Inputs'!G13</f>
        <v/>
      </c>
      <c r="D5" s="16">
        <f>'DCF Inputs'!H13</f>
        <v/>
      </c>
      <c r="E5" s="16">
        <f>'DCF Inputs'!I13</f>
        <v/>
      </c>
      <c r="F5" s="16">
        <f>'DCF Inputs'!J13</f>
        <v/>
      </c>
    </row>
    <row r="6">
      <c r="A6" s="29" t="inlineStr">
        <is>
          <t>할인기간 (t)</t>
        </is>
      </c>
      <c r="B6" s="30" t="n">
        <v>1</v>
      </c>
      <c r="C6" s="30" t="n">
        <v>2</v>
      </c>
      <c r="D6" s="30" t="n">
        <v>3</v>
      </c>
      <c r="E6" s="30" t="n">
        <v>4</v>
      </c>
      <c r="F6" s="30" t="n">
        <v>5</v>
      </c>
    </row>
    <row r="7">
      <c r="A7" s="29" t="inlineStr">
        <is>
          <t>할인계수</t>
        </is>
      </c>
      <c r="B7" s="31">
        <f>1/(1+'DCF Inputs'!$B$23)^B6</f>
        <v/>
      </c>
      <c r="C7" s="31">
        <f>1/(1+'DCF Inputs'!$B$23)^C6</f>
        <v/>
      </c>
      <c r="D7" s="31">
        <f>1/(1+'DCF Inputs'!$B$23)^D6</f>
        <v/>
      </c>
      <c r="E7" s="31">
        <f>1/(1+'DCF Inputs'!$B$23)^E6</f>
        <v/>
      </c>
      <c r="F7" s="31">
        <f>1/(1+'DCF Inputs'!$B$23)^F6</f>
        <v/>
      </c>
    </row>
    <row r="8">
      <c r="A8" s="29" t="inlineStr">
        <is>
          <t>FCF 현재가치</t>
        </is>
      </c>
      <c r="B8" s="9">
        <f>B5*B7</f>
        <v/>
      </c>
      <c r="C8" s="9">
        <f>C5*C7</f>
        <v/>
      </c>
      <c r="D8" s="9">
        <f>D5*D7</f>
        <v/>
      </c>
      <c r="E8" s="9">
        <f>E5*E7</f>
        <v/>
      </c>
      <c r="F8" s="9">
        <f>F5*F7</f>
        <v/>
      </c>
    </row>
    <row r="10">
      <c r="A10" s="28" t="inlineStr">
        <is>
          <t>5년 FCF 현재가치 합</t>
        </is>
      </c>
      <c r="B10" s="32">
        <f>SUM(B8:F8)</f>
        <v/>
      </c>
    </row>
    <row r="11">
      <c r="A11" s="29" t="inlineStr">
        <is>
          <t>영구성장률 (g)</t>
        </is>
      </c>
      <c r="B11" s="17">
        <f>'DCF Inputs'!B24</f>
        <v/>
      </c>
    </row>
    <row r="12">
      <c r="A12" s="29" t="inlineStr">
        <is>
          <t>WACC</t>
        </is>
      </c>
      <c r="B12" s="17">
        <f>'DCF Inputs'!B23</f>
        <v/>
      </c>
    </row>
    <row r="13">
      <c r="A13" s="29" t="inlineStr">
        <is>
          <t>영구가치 (Gordon)</t>
        </is>
      </c>
      <c r="B13" s="9">
        <f>F5*(1+B11)/(B12-B11)</f>
        <v/>
      </c>
    </row>
    <row r="14">
      <c r="A14" s="29" t="inlineStr">
        <is>
          <t>영구가치 현재가치</t>
        </is>
      </c>
      <c r="B14" s="9">
        <f>B13*F7</f>
        <v/>
      </c>
    </row>
    <row r="15">
      <c r="A15" s="28" t="inlineStr">
        <is>
          <t>기업가치 (EV)</t>
        </is>
      </c>
      <c r="B15" s="32">
        <f>B10+B14</f>
        <v/>
      </c>
    </row>
    <row r="16">
      <c r="A16" s="29" t="inlineStr">
        <is>
          <t>(+) 순현금</t>
        </is>
      </c>
      <c r="B16" s="16">
        <f>'DCF Inputs'!B26</f>
        <v/>
      </c>
    </row>
    <row r="17">
      <c r="A17" s="28" t="inlineStr">
        <is>
          <t>자기자본가치</t>
        </is>
      </c>
      <c r="B17" s="32">
        <f>B15+B16</f>
        <v/>
      </c>
    </row>
    <row r="18">
      <c r="A18" s="29" t="inlineStr">
        <is>
          <t>희석주식수 (백만주)</t>
        </is>
      </c>
      <c r="B18" s="33">
        <f>'DCF Inputs'!B25</f>
        <v/>
      </c>
    </row>
    <row r="19">
      <c r="A19" s="28" t="inlineStr">
        <is>
          <t>주당가치 ($)</t>
        </is>
      </c>
      <c r="B19" s="34">
        <f>B17/B18</f>
        <v/>
      </c>
    </row>
    <row r="20">
      <c r="A20" s="29" t="inlineStr">
        <is>
          <t>현재주가 ($)</t>
        </is>
      </c>
      <c r="B20" s="35">
        <f>'DCF Inputs'!B27</f>
        <v/>
      </c>
    </row>
    <row r="21">
      <c r="A21" s="28" t="inlineStr">
        <is>
          <t>상승여력 / (하락위험)</t>
        </is>
      </c>
      <c r="B21" s="36">
        <f>B19/B20-1</f>
        <v/>
      </c>
    </row>
    <row r="22">
      <c r="A22" s="29" t="inlineStr">
        <is>
          <t>영구가치 비중 (검증)</t>
        </is>
      </c>
      <c r="B22" s="10">
        <f>B14/B15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32" customWidth="1" min="1" max="1"/>
  </cols>
  <sheetData>
    <row r="1">
      <c r="A1" s="27" t="inlineStr">
        <is>
          <t>Alphabet — DCF Sensitivity</t>
        </is>
      </c>
    </row>
    <row r="2">
      <c r="A2" s="2" t="inlineStr">
        <is>
          <t>주당가치($): WACC(행) × 영구성장률(열) · 기본 시나리오 음영</t>
        </is>
      </c>
    </row>
    <row r="4">
      <c r="A4" s="4" t="inlineStr">
        <is>
          <t>WACC \ g</t>
        </is>
      </c>
      <c r="B4" s="37" t="n">
        <v>0.02</v>
      </c>
      <c r="C4" s="37" t="n">
        <v>0.025</v>
      </c>
      <c r="D4" s="37" t="n">
        <v>0.03</v>
      </c>
      <c r="E4" s="37" t="n">
        <v>0.035</v>
      </c>
      <c r="F4" s="37" t="n">
        <v>0.04</v>
      </c>
    </row>
    <row r="5">
      <c r="A5" s="38" t="n">
        <v>0.075</v>
      </c>
      <c r="B5" s="35">
        <f>('DCF'!$B$5/(1+$A5)^1+'DCF'!$C$5/(1+$A5)^2+'DCF'!$D$5/(1+$A5)^3+'DCF'!$E$5/(1+$A5)^4+'DCF'!$F$5/(1+$A5)^5+('DCF'!$F$5*(1+B$4)/($A5-B$4))/(1+$A5)^5+'DCF Inputs'!$B$26)/'DCF Inputs'!$B$25</f>
        <v/>
      </c>
      <c r="C5" s="35">
        <f>('DCF'!$B$5/(1+$A5)^1+'DCF'!$C$5/(1+$A5)^2+'DCF'!$D$5/(1+$A5)^3+'DCF'!$E$5/(1+$A5)^4+'DCF'!$F$5/(1+$A5)^5+('DCF'!$F$5*(1+C$4)/($A5-C$4))/(1+$A5)^5+'DCF Inputs'!$B$26)/'DCF Inputs'!$B$25</f>
        <v/>
      </c>
      <c r="D5" s="35">
        <f>('DCF'!$B$5/(1+$A5)^1+'DCF'!$C$5/(1+$A5)^2+'DCF'!$D$5/(1+$A5)^3+'DCF'!$E$5/(1+$A5)^4+'DCF'!$F$5/(1+$A5)^5+('DCF'!$F$5*(1+D$4)/($A5-D$4))/(1+$A5)^5+'DCF Inputs'!$B$26)/'DCF Inputs'!$B$25</f>
        <v/>
      </c>
      <c r="E5" s="35">
        <f>('DCF'!$B$5/(1+$A5)^1+'DCF'!$C$5/(1+$A5)^2+'DCF'!$D$5/(1+$A5)^3+'DCF'!$E$5/(1+$A5)^4+'DCF'!$F$5/(1+$A5)^5+('DCF'!$F$5*(1+E$4)/($A5-E$4))/(1+$A5)^5+'DCF Inputs'!$B$26)/'DCF Inputs'!$B$25</f>
        <v/>
      </c>
      <c r="F5" s="35">
        <f>('DCF'!$B$5/(1+$A5)^1+'DCF'!$C$5/(1+$A5)^2+'DCF'!$D$5/(1+$A5)^3+'DCF'!$E$5/(1+$A5)^4+'DCF'!$F$5/(1+$A5)^5+('DCF'!$F$5*(1+F$4)/($A5-F$4))/(1+$A5)^5+'DCF Inputs'!$B$26)/'DCF Inputs'!$B$25</f>
        <v/>
      </c>
    </row>
    <row r="6">
      <c r="A6" s="38" t="n">
        <v>0.08</v>
      </c>
      <c r="B6" s="35">
        <f>('DCF'!$B$5/(1+$A6)^1+'DCF'!$C$5/(1+$A6)^2+'DCF'!$D$5/(1+$A6)^3+'DCF'!$E$5/(1+$A6)^4+'DCF'!$F$5/(1+$A6)^5+('DCF'!$F$5*(1+B$4)/($A6-B$4))/(1+$A6)^5+'DCF Inputs'!$B$26)/'DCF Inputs'!$B$25</f>
        <v/>
      </c>
      <c r="C6" s="35">
        <f>('DCF'!$B$5/(1+$A6)^1+'DCF'!$C$5/(1+$A6)^2+'DCF'!$D$5/(1+$A6)^3+'DCF'!$E$5/(1+$A6)^4+'DCF'!$F$5/(1+$A6)^5+('DCF'!$F$5*(1+C$4)/($A6-C$4))/(1+$A6)^5+'DCF Inputs'!$B$26)/'DCF Inputs'!$B$25</f>
        <v/>
      </c>
      <c r="D6" s="35">
        <f>('DCF'!$B$5/(1+$A6)^1+'DCF'!$C$5/(1+$A6)^2+'DCF'!$D$5/(1+$A6)^3+'DCF'!$E$5/(1+$A6)^4+'DCF'!$F$5/(1+$A6)^5+('DCF'!$F$5*(1+D$4)/($A6-D$4))/(1+$A6)^5+'DCF Inputs'!$B$26)/'DCF Inputs'!$B$25</f>
        <v/>
      </c>
      <c r="E6" s="35">
        <f>('DCF'!$B$5/(1+$A6)^1+'DCF'!$C$5/(1+$A6)^2+'DCF'!$D$5/(1+$A6)^3+'DCF'!$E$5/(1+$A6)^4+'DCF'!$F$5/(1+$A6)^5+('DCF'!$F$5*(1+E$4)/($A6-E$4))/(1+$A6)^5+'DCF Inputs'!$B$26)/'DCF Inputs'!$B$25</f>
        <v/>
      </c>
      <c r="F6" s="35">
        <f>('DCF'!$B$5/(1+$A6)^1+'DCF'!$C$5/(1+$A6)^2+'DCF'!$D$5/(1+$A6)^3+'DCF'!$E$5/(1+$A6)^4+'DCF'!$F$5/(1+$A6)^5+('DCF'!$F$5*(1+F$4)/($A6-F$4))/(1+$A6)^5+'DCF Inputs'!$B$26)/'DCF Inputs'!$B$25</f>
        <v/>
      </c>
    </row>
    <row r="7">
      <c r="A7" s="38" t="n">
        <v>0.08500000000000001</v>
      </c>
      <c r="B7" s="35">
        <f>('DCF'!$B$5/(1+$A7)^1+'DCF'!$C$5/(1+$A7)^2+'DCF'!$D$5/(1+$A7)^3+'DCF'!$E$5/(1+$A7)^4+'DCF'!$F$5/(1+$A7)^5+('DCF'!$F$5*(1+B$4)/($A7-B$4))/(1+$A7)^5+'DCF Inputs'!$B$26)/'DCF Inputs'!$B$25</f>
        <v/>
      </c>
      <c r="C7" s="35">
        <f>('DCF'!$B$5/(1+$A7)^1+'DCF'!$C$5/(1+$A7)^2+'DCF'!$D$5/(1+$A7)^3+'DCF'!$E$5/(1+$A7)^4+'DCF'!$F$5/(1+$A7)^5+('DCF'!$F$5*(1+C$4)/($A7-C$4))/(1+$A7)^5+'DCF Inputs'!$B$26)/'DCF Inputs'!$B$25</f>
        <v/>
      </c>
      <c r="D7" s="35">
        <f>('DCF'!$B$5/(1+$A7)^1+'DCF'!$C$5/(1+$A7)^2+'DCF'!$D$5/(1+$A7)^3+'DCF'!$E$5/(1+$A7)^4+'DCF'!$F$5/(1+$A7)^5+('DCF'!$F$5*(1+D$4)/($A7-D$4))/(1+$A7)^5+'DCF Inputs'!$B$26)/'DCF Inputs'!$B$25</f>
        <v/>
      </c>
      <c r="E7" s="35">
        <f>('DCF'!$B$5/(1+$A7)^1+'DCF'!$C$5/(1+$A7)^2+'DCF'!$D$5/(1+$A7)^3+'DCF'!$E$5/(1+$A7)^4+'DCF'!$F$5/(1+$A7)^5+('DCF'!$F$5*(1+E$4)/($A7-E$4))/(1+$A7)^5+'DCF Inputs'!$B$26)/'DCF Inputs'!$B$25</f>
        <v/>
      </c>
      <c r="F7" s="35">
        <f>('DCF'!$B$5/(1+$A7)^1+'DCF'!$C$5/(1+$A7)^2+'DCF'!$D$5/(1+$A7)^3+'DCF'!$E$5/(1+$A7)^4+'DCF'!$F$5/(1+$A7)^5+('DCF'!$F$5*(1+F$4)/($A7-F$4))/(1+$A7)^5+'DCF Inputs'!$B$26)/'DCF Inputs'!$B$25</f>
        <v/>
      </c>
    </row>
    <row r="8">
      <c r="A8" s="38" t="n">
        <v>0.09</v>
      </c>
      <c r="B8" s="35">
        <f>('DCF'!$B$5/(1+$A8)^1+'DCF'!$C$5/(1+$A8)^2+'DCF'!$D$5/(1+$A8)^3+'DCF'!$E$5/(1+$A8)^4+'DCF'!$F$5/(1+$A8)^5+('DCF'!$F$5*(1+B$4)/($A8-B$4))/(1+$A8)^5+'DCF Inputs'!$B$26)/'DCF Inputs'!$B$25</f>
        <v/>
      </c>
      <c r="C8" s="35">
        <f>('DCF'!$B$5/(1+$A8)^1+'DCF'!$C$5/(1+$A8)^2+'DCF'!$D$5/(1+$A8)^3+'DCF'!$E$5/(1+$A8)^4+'DCF'!$F$5/(1+$A8)^5+('DCF'!$F$5*(1+C$4)/($A8-C$4))/(1+$A8)^5+'DCF Inputs'!$B$26)/'DCF Inputs'!$B$25</f>
        <v/>
      </c>
      <c r="D8" s="35">
        <f>('DCF'!$B$5/(1+$A8)^1+'DCF'!$C$5/(1+$A8)^2+'DCF'!$D$5/(1+$A8)^3+'DCF'!$E$5/(1+$A8)^4+'DCF'!$F$5/(1+$A8)^5+('DCF'!$F$5*(1+D$4)/($A8-D$4))/(1+$A8)^5+'DCF Inputs'!$B$26)/'DCF Inputs'!$B$25</f>
        <v/>
      </c>
      <c r="E8" s="35">
        <f>('DCF'!$B$5/(1+$A8)^1+'DCF'!$C$5/(1+$A8)^2+'DCF'!$D$5/(1+$A8)^3+'DCF'!$E$5/(1+$A8)^4+'DCF'!$F$5/(1+$A8)^5+('DCF'!$F$5*(1+E$4)/($A8-E$4))/(1+$A8)^5+'DCF Inputs'!$B$26)/'DCF Inputs'!$B$25</f>
        <v/>
      </c>
      <c r="F8" s="35">
        <f>('DCF'!$B$5/(1+$A8)^1+'DCF'!$C$5/(1+$A8)^2+'DCF'!$D$5/(1+$A8)^3+'DCF'!$E$5/(1+$A8)^4+'DCF'!$F$5/(1+$A8)^5+('DCF'!$F$5*(1+F$4)/($A8-F$4))/(1+$A8)^5+'DCF Inputs'!$B$26)/'DCF Inputs'!$B$25</f>
        <v/>
      </c>
    </row>
    <row r="9">
      <c r="A9" s="39" t="n">
        <v>0.09419</v>
      </c>
      <c r="B9" s="35">
        <f>('DCF'!$B$5/(1+$A9)^1+'DCF'!$C$5/(1+$A9)^2+'DCF'!$D$5/(1+$A9)^3+'DCF'!$E$5/(1+$A9)^4+'DCF'!$F$5/(1+$A9)^5+('DCF'!$F$5*(1+B$4)/($A9-B$4))/(1+$A9)^5+'DCF Inputs'!$B$26)/'DCF Inputs'!$B$25</f>
        <v/>
      </c>
      <c r="C9" s="35">
        <f>('DCF'!$B$5/(1+$A9)^1+'DCF'!$C$5/(1+$A9)^2+'DCF'!$D$5/(1+$A9)^3+'DCF'!$E$5/(1+$A9)^4+'DCF'!$F$5/(1+$A9)^5+('DCF'!$F$5*(1+C$4)/($A9-C$4))/(1+$A9)^5+'DCF Inputs'!$B$26)/'DCF Inputs'!$B$25</f>
        <v/>
      </c>
      <c r="D9" s="40">
        <f>('DCF'!$B$5/(1+$A9)^1+'DCF'!$C$5/(1+$A9)^2+'DCF'!$D$5/(1+$A9)^3+'DCF'!$E$5/(1+$A9)^4+'DCF'!$F$5/(1+$A9)^5+('DCF'!$F$5*(1+D$4)/($A9-D$4))/(1+$A9)^5+'DCF Inputs'!$B$26)/'DCF Inputs'!$B$25</f>
        <v/>
      </c>
      <c r="E9" s="35">
        <f>('DCF'!$B$5/(1+$A9)^1+'DCF'!$C$5/(1+$A9)^2+'DCF'!$D$5/(1+$A9)^3+'DCF'!$E$5/(1+$A9)^4+'DCF'!$F$5/(1+$A9)^5+('DCF'!$F$5*(1+E$4)/($A9-E$4))/(1+$A9)^5+'DCF Inputs'!$B$26)/'DCF Inputs'!$B$25</f>
        <v/>
      </c>
      <c r="F9" s="35">
        <f>('DCF'!$B$5/(1+$A9)^1+'DCF'!$C$5/(1+$A9)^2+'DCF'!$D$5/(1+$A9)^3+'DCF'!$E$5/(1+$A9)^4+'DCF'!$F$5/(1+$A9)^5+('DCF'!$F$5*(1+F$4)/($A9-F$4))/(1+$A9)^5+'DCF Inputs'!$B$26)/'DCF Inputs'!$B$25</f>
        <v/>
      </c>
    </row>
    <row r="10">
      <c r="A10" s="38" t="n">
        <v>0.1</v>
      </c>
      <c r="B10" s="35">
        <f>('DCF'!$B$5/(1+$A10)^1+'DCF'!$C$5/(1+$A10)^2+'DCF'!$D$5/(1+$A10)^3+'DCF'!$E$5/(1+$A10)^4+'DCF'!$F$5/(1+$A10)^5+('DCF'!$F$5*(1+B$4)/($A10-B$4))/(1+$A10)^5+'DCF Inputs'!$B$26)/'DCF Inputs'!$B$25</f>
        <v/>
      </c>
      <c r="C10" s="35">
        <f>('DCF'!$B$5/(1+$A10)^1+'DCF'!$C$5/(1+$A10)^2+'DCF'!$D$5/(1+$A10)^3+'DCF'!$E$5/(1+$A10)^4+'DCF'!$F$5/(1+$A10)^5+('DCF'!$F$5*(1+C$4)/($A10-C$4))/(1+$A10)^5+'DCF Inputs'!$B$26)/'DCF Inputs'!$B$25</f>
        <v/>
      </c>
      <c r="D10" s="35">
        <f>('DCF'!$B$5/(1+$A10)^1+'DCF'!$C$5/(1+$A10)^2+'DCF'!$D$5/(1+$A10)^3+'DCF'!$E$5/(1+$A10)^4+'DCF'!$F$5/(1+$A10)^5+('DCF'!$F$5*(1+D$4)/($A10-D$4))/(1+$A10)^5+'DCF Inputs'!$B$26)/'DCF Inputs'!$B$25</f>
        <v/>
      </c>
      <c r="E10" s="35">
        <f>('DCF'!$B$5/(1+$A10)^1+'DCF'!$C$5/(1+$A10)^2+'DCF'!$D$5/(1+$A10)^3+'DCF'!$E$5/(1+$A10)^4+'DCF'!$F$5/(1+$A10)^5+('DCF'!$F$5*(1+E$4)/($A10-E$4))/(1+$A10)^5+'DCF Inputs'!$B$26)/'DCF Inputs'!$B$25</f>
        <v/>
      </c>
      <c r="F10" s="35">
        <f>('DCF'!$B$5/(1+$A10)^1+'DCF'!$C$5/(1+$A10)^2+'DCF'!$D$5/(1+$A10)^3+'DCF'!$E$5/(1+$A10)^4+'DCF'!$F$5/(1+$A10)^5+('DCF'!$F$5*(1+F$4)/($A10-F$4))/(1+$A10)^5+'DCF Inputs'!$B$26)/'DCF Inputs'!$B$25</f>
        <v/>
      </c>
    </row>
    <row r="11">
      <c r="A11" s="38" t="n">
        <v>0.105</v>
      </c>
      <c r="B11" s="35">
        <f>('DCF'!$B$5/(1+$A11)^1+'DCF'!$C$5/(1+$A11)^2+'DCF'!$D$5/(1+$A11)^3+'DCF'!$E$5/(1+$A11)^4+'DCF'!$F$5/(1+$A11)^5+('DCF'!$F$5*(1+B$4)/($A11-B$4))/(1+$A11)^5+'DCF Inputs'!$B$26)/'DCF Inputs'!$B$25</f>
        <v/>
      </c>
      <c r="C11" s="35">
        <f>('DCF'!$B$5/(1+$A11)^1+'DCF'!$C$5/(1+$A11)^2+'DCF'!$D$5/(1+$A11)^3+'DCF'!$E$5/(1+$A11)^4+'DCF'!$F$5/(1+$A11)^5+('DCF'!$F$5*(1+C$4)/($A11-C$4))/(1+$A11)^5+'DCF Inputs'!$B$26)/'DCF Inputs'!$B$25</f>
        <v/>
      </c>
      <c r="D11" s="35">
        <f>('DCF'!$B$5/(1+$A11)^1+'DCF'!$C$5/(1+$A11)^2+'DCF'!$D$5/(1+$A11)^3+'DCF'!$E$5/(1+$A11)^4+'DCF'!$F$5/(1+$A11)^5+('DCF'!$F$5*(1+D$4)/($A11-D$4))/(1+$A11)^5+'DCF Inputs'!$B$26)/'DCF Inputs'!$B$25</f>
        <v/>
      </c>
      <c r="E11" s="35">
        <f>('DCF'!$B$5/(1+$A11)^1+'DCF'!$C$5/(1+$A11)^2+'DCF'!$D$5/(1+$A11)^3+'DCF'!$E$5/(1+$A11)^4+'DCF'!$F$5/(1+$A11)^5+('DCF'!$F$5*(1+E$4)/($A11-E$4))/(1+$A11)^5+'DCF Inputs'!$B$26)/'DCF Inputs'!$B$25</f>
        <v/>
      </c>
      <c r="F11" s="35">
        <f>('DCF'!$B$5/(1+$A11)^1+'DCF'!$C$5/(1+$A11)^2+'DCF'!$D$5/(1+$A11)^3+'DCF'!$E$5/(1+$A11)^4+'DCF'!$F$5/(1+$A11)^5+('DCF'!$F$5*(1+F$4)/($A11-F$4))/(1+$A11)^5+'DCF Inputs'!$B$26)/'DCF Inputs'!$B$25</f>
        <v/>
      </c>
    </row>
    <row r="12">
      <c r="A12" s="38" t="n">
        <v>0.11</v>
      </c>
      <c r="B12" s="35">
        <f>('DCF'!$B$5/(1+$A12)^1+'DCF'!$C$5/(1+$A12)^2+'DCF'!$D$5/(1+$A12)^3+'DCF'!$E$5/(1+$A12)^4+'DCF'!$F$5/(1+$A12)^5+('DCF'!$F$5*(1+B$4)/($A12-B$4))/(1+$A12)^5+'DCF Inputs'!$B$26)/'DCF Inputs'!$B$25</f>
        <v/>
      </c>
      <c r="C12" s="35">
        <f>('DCF'!$B$5/(1+$A12)^1+'DCF'!$C$5/(1+$A12)^2+'DCF'!$D$5/(1+$A12)^3+'DCF'!$E$5/(1+$A12)^4+'DCF'!$F$5/(1+$A12)^5+('DCF'!$F$5*(1+C$4)/($A12-C$4))/(1+$A12)^5+'DCF Inputs'!$B$26)/'DCF Inputs'!$B$25</f>
        <v/>
      </c>
      <c r="D12" s="35">
        <f>('DCF'!$B$5/(1+$A12)^1+'DCF'!$C$5/(1+$A12)^2+'DCF'!$D$5/(1+$A12)^3+'DCF'!$E$5/(1+$A12)^4+'DCF'!$F$5/(1+$A12)^5+('DCF'!$F$5*(1+D$4)/($A12-D$4))/(1+$A12)^5+'DCF Inputs'!$B$26)/'DCF Inputs'!$B$25</f>
        <v/>
      </c>
      <c r="E12" s="35">
        <f>('DCF'!$B$5/(1+$A12)^1+'DCF'!$C$5/(1+$A12)^2+'DCF'!$D$5/(1+$A12)^3+'DCF'!$E$5/(1+$A12)^4+'DCF'!$F$5/(1+$A12)^5+('DCF'!$F$5*(1+E$4)/($A12-E$4))/(1+$A12)^5+'DCF Inputs'!$B$26)/'DCF Inputs'!$B$25</f>
        <v/>
      </c>
      <c r="F12" s="35">
        <f>('DCF'!$B$5/(1+$A12)^1+'DCF'!$C$5/(1+$A12)^2+'DCF'!$D$5/(1+$A12)^3+'DCF'!$E$5/(1+$A12)^4+'DCF'!$F$5/(1+$A12)^5+('DCF'!$F$5*(1+F$4)/($A12-F$4))/(1+$A12)^5+'DCF Inputs'!$B$26)/'DCF Inputs'!$B$25</f>
        <v/>
      </c>
    </row>
    <row r="14">
      <c r="A14" s="41" t="inlineStr">
        <is>
          <t>음영 = 기본(WACC 9.42%, g 3.0%). 현재주가 $354를 정당화하려면 g≈6.3% 또는 WACC≈6.5%가 필요.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0" workbookViewId="0">
      <selection activeCell="A1" sqref="A1"/>
    </sheetView>
  </sheetViews>
  <sheetFormatPr baseColWidth="8" defaultRowHeight="15"/>
  <cols>
    <col width="32" customWidth="1" min="1" max="1"/>
  </cols>
  <sheetData>
    <row r="1">
      <c r="A1" s="27" t="inlineStr">
        <is>
          <t>Alphabet — Comps</t>
        </is>
      </c>
    </row>
    <row r="2">
      <c r="A2" s="2" t="inlineStr">
        <is>
          <t>비교기업 — 차기 회계연도(NTM) 배수 기준, GOOGL 동일 기준(FY2027E) 적용</t>
        </is>
      </c>
    </row>
    <row r="4">
      <c r="A4" s="4" t="inlineStr">
        <is>
          <t>기업</t>
        </is>
      </c>
      <c r="B4" s="4" t="inlineStr">
        <is>
          <t>티커</t>
        </is>
      </c>
      <c r="C4" s="4" t="inlineStr">
        <is>
          <t>시가총액($B)</t>
        </is>
      </c>
      <c r="D4" s="4" t="inlineStr">
        <is>
          <t>EV($B)</t>
        </is>
      </c>
      <c r="E4" s="4" t="inlineStr">
        <is>
          <t>EV/매출</t>
        </is>
      </c>
      <c r="F4" s="4" t="inlineStr">
        <is>
          <t>EV/EBITDA</t>
        </is>
      </c>
      <c r="G4" s="4" t="inlineStr">
        <is>
          <t>선행 P/E</t>
        </is>
      </c>
      <c r="H4" s="4" t="inlineStr">
        <is>
          <t>매출성장%</t>
        </is>
      </c>
      <c r="I4" s="4" t="inlineStr">
        <is>
          <t>EBITDA마진%</t>
        </is>
      </c>
    </row>
    <row r="5">
      <c r="A5" s="42" t="inlineStr">
        <is>
          <t>Microsoft</t>
        </is>
      </c>
      <c r="B5" s="43" t="inlineStr">
        <is>
          <t>MSFT</t>
        </is>
      </c>
      <c r="C5" s="8" t="n">
        <v>2925.47</v>
      </c>
      <c r="D5" s="8" t="n">
        <v>2972.67</v>
      </c>
      <c r="E5" s="44" t="n">
        <v>8.15</v>
      </c>
      <c r="F5" s="44" t="n">
        <v>14.06</v>
      </c>
      <c r="G5" s="44" t="n">
        <v>20.32</v>
      </c>
      <c r="H5" s="11" t="n">
        <v>0.183</v>
      </c>
      <c r="I5" s="11" t="n">
        <v>0.58</v>
      </c>
    </row>
    <row r="6">
      <c r="A6" s="42" t="inlineStr">
        <is>
          <t>Amazon</t>
        </is>
      </c>
      <c r="B6" s="43" t="inlineStr">
        <is>
          <t>AMZN</t>
        </is>
      </c>
      <c r="C6" s="8" t="n">
        <v>2659.48</v>
      </c>
      <c r="D6" s="8" t="n">
        <v>2751.93</v>
      </c>
      <c r="E6" s="44" t="n">
        <v>3.27</v>
      </c>
      <c r="F6" s="44" t="n">
        <v>15.59</v>
      </c>
      <c r="G6" s="44" t="n">
        <v>24.95</v>
      </c>
      <c r="H6" s="11" t="n">
        <v>0.166</v>
      </c>
      <c r="I6" s="11" t="n">
        <v>0.21</v>
      </c>
    </row>
    <row r="7">
      <c r="A7" s="42" t="inlineStr">
        <is>
          <t>Meta Platforms</t>
        </is>
      </c>
      <c r="B7" s="43" t="inlineStr">
        <is>
          <t>META</t>
        </is>
      </c>
      <c r="C7" s="8" t="n">
        <v>1639.85</v>
      </c>
      <c r="D7" s="8" t="n">
        <v>1645.44</v>
      </c>
      <c r="E7" s="44" t="n">
        <v>6.05</v>
      </c>
      <c r="F7" s="44" t="n">
        <v>11.9</v>
      </c>
      <c r="G7" s="44" t="n">
        <v>17.78</v>
      </c>
      <c r="H7" s="11" t="n">
        <v>0.331</v>
      </c>
      <c r="I7" s="11" t="n">
        <v>0.508</v>
      </c>
    </row>
    <row r="8">
      <c r="A8" s="42" t="inlineStr">
        <is>
          <t>Apple</t>
        </is>
      </c>
      <c r="B8" s="43" t="inlineStr">
        <is>
          <t>AAPL</t>
        </is>
      </c>
      <c r="C8" s="8" t="n">
        <v>4901.76</v>
      </c>
      <c r="D8" s="8" t="n">
        <v>4917.96</v>
      </c>
      <c r="E8" s="44" t="n">
        <v>9.619999999999999</v>
      </c>
      <c r="F8" s="44" t="n">
        <v>27.14</v>
      </c>
      <c r="G8" s="44" t="n">
        <v>34.63</v>
      </c>
      <c r="H8" s="11" t="n">
        <v>0.166</v>
      </c>
      <c r="I8" s="11" t="n">
        <v>0.354</v>
      </c>
    </row>
    <row r="9">
      <c r="A9" s="42" t="inlineStr">
        <is>
          <t>Netflix</t>
        </is>
      </c>
      <c r="B9" s="43" t="inlineStr">
        <is>
          <t>NFLX</t>
        </is>
      </c>
      <c r="C9" s="8" t="n">
        <v>290.33</v>
      </c>
      <c r="D9" s="8" t="n">
        <v>297.86</v>
      </c>
      <c r="E9" s="44" t="n">
        <v>5.56</v>
      </c>
      <c r="F9" s="44" t="n">
        <v>18.27</v>
      </c>
      <c r="G9" s="44" t="n">
        <v>18.05</v>
      </c>
      <c r="H9" s="11" t="n">
        <v>0.134</v>
      </c>
      <c r="I9" s="11" t="n">
        <v>0.304</v>
      </c>
    </row>
    <row r="10">
      <c r="A10" s="42" t="inlineStr">
        <is>
          <t>Oracle</t>
        </is>
      </c>
      <c r="B10" s="43" t="inlineStr">
        <is>
          <t>ORCL</t>
        </is>
      </c>
      <c r="C10" s="8" t="n">
        <v>364.12</v>
      </c>
      <c r="D10" s="8" t="n">
        <v>499.66</v>
      </c>
      <c r="E10" s="44" t="n">
        <v>6.37</v>
      </c>
      <c r="F10" s="44" t="n">
        <v>14.07</v>
      </c>
      <c r="G10" s="44" t="n">
        <v>11.57</v>
      </c>
      <c r="H10" s="11" t="n">
        <v>0.206</v>
      </c>
      <c r="I10" s="11" t="n">
        <v>0.453</v>
      </c>
    </row>
    <row r="11">
      <c r="A11" s="42" t="inlineStr">
        <is>
          <t>Salesforce</t>
        </is>
      </c>
      <c r="B11" s="43" t="inlineStr">
        <is>
          <t>CRM</t>
        </is>
      </c>
      <c r="C11" s="8" t="n">
        <v>139.86</v>
      </c>
      <c r="D11" s="8" t="n">
        <v>170.57</v>
      </c>
      <c r="E11" s="44" t="n">
        <v>3.6</v>
      </c>
      <c r="F11" s="44" t="n">
        <v>11.96</v>
      </c>
      <c r="G11" s="44" t="n">
        <v>11</v>
      </c>
      <c r="H11" s="11" t="n">
        <v>0.133</v>
      </c>
      <c r="I11" s="11" t="n">
        <v>0.301</v>
      </c>
    </row>
    <row r="12">
      <c r="A12" s="42" t="inlineStr">
        <is>
          <t>NVIDIA</t>
        </is>
      </c>
      <c r="B12" s="43" t="inlineStr">
        <is>
          <t>NVDA</t>
        </is>
      </c>
      <c r="C12" s="8" t="n">
        <v>4912.26</v>
      </c>
      <c r="D12" s="8" t="n">
        <v>4871.9</v>
      </c>
      <c r="E12" s="44" t="n">
        <v>11.43</v>
      </c>
      <c r="F12" s="44" t="n">
        <v>17.5</v>
      </c>
      <c r="G12" s="44" t="n">
        <v>15.81</v>
      </c>
      <c r="H12" s="11" t="n">
        <v>0.852</v>
      </c>
      <c r="I12" s="11" t="n">
        <v>0.653</v>
      </c>
    </row>
    <row r="14">
      <c r="A14" s="28" t="inlineStr">
        <is>
          <t>최대</t>
        </is>
      </c>
      <c r="E14" s="45" t="n">
        <v>11.43</v>
      </c>
      <c r="F14" s="45" t="n">
        <v>27.14</v>
      </c>
      <c r="G14" s="45" t="n">
        <v>34.63</v>
      </c>
      <c r="H14" s="46" t="n">
        <v>0.852</v>
      </c>
      <c r="I14" s="46" t="n">
        <v>0.653</v>
      </c>
    </row>
    <row r="15">
      <c r="A15" s="28" t="inlineStr">
        <is>
          <t>75분위</t>
        </is>
      </c>
      <c r="E15" s="45" t="n">
        <v>9.2525</v>
      </c>
      <c r="F15" s="45" t="n">
        <v>18.0775</v>
      </c>
      <c r="G15" s="45" t="n">
        <v>23.7925</v>
      </c>
      <c r="H15" s="46" t="n">
        <v>0.2998</v>
      </c>
      <c r="I15" s="46" t="n">
        <v>0.5620000000000001</v>
      </c>
    </row>
    <row r="16">
      <c r="A16" s="28" t="inlineStr">
        <is>
          <t>중앙값</t>
        </is>
      </c>
      <c r="E16" s="45" t="n">
        <v>6.21</v>
      </c>
      <c r="F16" s="45" t="n">
        <v>14.83</v>
      </c>
      <c r="G16" s="45" t="n">
        <v>17.915</v>
      </c>
      <c r="H16" s="46" t="n">
        <v>0.1745</v>
      </c>
      <c r="I16" s="46" t="n">
        <v>0.4035</v>
      </c>
    </row>
    <row r="17">
      <c r="A17" s="28" t="inlineStr">
        <is>
          <t>25분위</t>
        </is>
      </c>
      <c r="E17" s="45" t="n">
        <v>4.09</v>
      </c>
      <c r="F17" s="45" t="n">
        <v>12.485</v>
      </c>
      <c r="G17" s="45" t="n">
        <v>12.63</v>
      </c>
      <c r="H17" s="46" t="n">
        <v>0.142</v>
      </c>
      <c r="I17" s="46" t="n">
        <v>0.3018</v>
      </c>
    </row>
    <row r="18">
      <c r="A18" s="28" t="inlineStr">
        <is>
          <t>최소</t>
        </is>
      </c>
      <c r="E18" s="45" t="n">
        <v>3.27</v>
      </c>
      <c r="F18" s="45" t="n">
        <v>11.9</v>
      </c>
      <c r="G18" s="45" t="n">
        <v>11</v>
      </c>
      <c r="H18" s="46" t="n">
        <v>0.133</v>
      </c>
      <c r="I18" s="46" t="n">
        <v>0.21</v>
      </c>
    </row>
    <row r="21">
      <c r="A21" s="47" t="inlineStr">
        <is>
          <t>GOOGL 적용 (기준: FY2027E — 피어 선행배수와 동일 기준)</t>
        </is>
      </c>
      <c r="B21" s="6" t="n"/>
      <c r="C21" s="6" t="n"/>
      <c r="D21" s="6" t="n"/>
      <c r="E21" s="6" t="n"/>
      <c r="F21" s="6" t="n"/>
      <c r="G21" s="6" t="n"/>
      <c r="H21" s="6" t="n"/>
      <c r="I21" s="6" t="n"/>
    </row>
    <row r="22">
      <c r="A22" s="29" t="inlineStr">
        <is>
          <t>GOOGL FY2027E EBITDA ($M)</t>
        </is>
      </c>
      <c r="B22" s="16">
        <f>'Income Statement'!G22</f>
        <v/>
      </c>
    </row>
    <row r="23">
      <c r="A23" s="29" t="inlineStr">
        <is>
          <t>GOOGL FY2027E EPS ($)</t>
        </is>
      </c>
      <c r="B23" s="35">
        <f>'Income Statement'!G33</f>
        <v/>
      </c>
    </row>
    <row r="24">
      <c r="A24" s="29" t="inlineStr">
        <is>
          <t>순현금 ($M)</t>
        </is>
      </c>
      <c r="B24" s="16">
        <f>'DCF Inputs'!B26</f>
        <v/>
      </c>
    </row>
    <row r="25">
      <c r="A25" s="29" t="inlineStr">
        <is>
          <t>희석주식수 (백만주)</t>
        </is>
      </c>
      <c r="B25" s="33">
        <f>'DCF Inputs'!B25</f>
        <v/>
      </c>
    </row>
    <row r="26">
      <c r="A26" s="28" t="inlineStr">
        <is>
          <t>함의주가 — EV/EBITDA (25/중앙/75)</t>
        </is>
      </c>
      <c r="B26" s="48">
        <f>(B22*F17+B24)/B25</f>
        <v/>
      </c>
      <c r="C26" s="48">
        <f>(B22*F16+B24)/B25</f>
        <v/>
      </c>
      <c r="D26" s="48">
        <f>(B22*F15+B24)/B25</f>
        <v/>
      </c>
    </row>
    <row r="27">
      <c r="A27" s="28" t="inlineStr">
        <is>
          <t>함의주가 — 선행 P/E (25/중앙/75)</t>
        </is>
      </c>
      <c r="B27" s="48">
        <f>B23*G17</f>
        <v/>
      </c>
      <c r="C27" s="48">
        <f>B23*G16</f>
        <v/>
      </c>
      <c r="D27" s="48">
        <f>B23*G15</f>
        <v/>
      </c>
    </row>
    <row r="29">
      <c r="A29" s="41" t="inlineStr">
        <is>
          <t>피어 데이터 기준일 2026-07-18. NTM 매출·EBITDA는 컨센서스가 아닌 LTM 성장률 기반 추정치(근사).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32" customWidth="1" min="1" max="1"/>
  </cols>
  <sheetData>
    <row r="1">
      <c r="A1" s="27" t="inlineStr">
        <is>
          <t>Alphabet — Valuation Summary</t>
        </is>
      </c>
    </row>
    <row r="2">
      <c r="A2" s="2" t="inlineStr">
        <is>
          <t>밸류에이션 종합 — 방법별 범위와 가중 목표주가</t>
        </is>
      </c>
    </row>
    <row r="4">
      <c r="A4" s="4" t="inlineStr">
        <is>
          <t>방법</t>
        </is>
      </c>
      <c r="B4" s="4" t="inlineStr">
        <is>
          <t>하단</t>
        </is>
      </c>
      <c r="C4" s="4" t="inlineStr">
        <is>
          <t>기본</t>
        </is>
      </c>
      <c r="D4" s="4" t="inlineStr">
        <is>
          <t>상단</t>
        </is>
      </c>
      <c r="E4" s="4" t="inlineStr">
        <is>
          <t>가중치</t>
        </is>
      </c>
    </row>
    <row r="5">
      <c r="A5" s="29" t="inlineStr">
        <is>
          <t>DCF (WACC 8.5~11%, g 2.5~3.5%)</t>
        </is>
      </c>
      <c r="B5" s="49" t="n">
        <v>146.57</v>
      </c>
      <c r="C5" s="49" t="n">
        <v>192.76</v>
      </c>
      <c r="D5" s="49" t="n">
        <v>244.94</v>
      </c>
      <c r="E5" s="10" t="n">
        <v>0.55</v>
      </c>
    </row>
    <row r="6">
      <c r="A6" s="29" t="inlineStr">
        <is>
          <t>Comps (EV/EBITDA·P/E, FY2027E)</t>
        </is>
      </c>
      <c r="B6" s="49" t="n">
        <v>177.2</v>
      </c>
      <c r="C6" s="49" t="n">
        <v>265.13</v>
      </c>
      <c r="D6" s="49" t="n">
        <v>338.62</v>
      </c>
      <c r="E6" s="10" t="n">
        <v>0.45</v>
      </c>
    </row>
    <row r="8">
      <c r="A8" s="28" t="inlineStr">
        <is>
          <t>가중 목표주가</t>
        </is>
      </c>
      <c r="C8" s="50" t="n">
        <v>225.33</v>
      </c>
    </row>
    <row r="9">
      <c r="A9" s="29" t="inlineStr">
        <is>
          <t>현재주가</t>
        </is>
      </c>
      <c r="C9" s="49" t="n">
        <v>354.46</v>
      </c>
    </row>
    <row r="10">
      <c r="A10" s="28" t="inlineStr">
        <is>
          <t>상승여력 / (하락위험)</t>
        </is>
      </c>
      <c r="C10" s="46" t="n">
        <v>-0.3643</v>
      </c>
    </row>
    <row r="11">
      <c r="A11" s="28" t="inlineStr">
        <is>
          <t>투자의견</t>
        </is>
      </c>
      <c r="C11" s="51" t="inlineStr">
        <is>
          <t>매도(SELL)</t>
        </is>
      </c>
    </row>
    <row r="13">
      <c r="A13" s="41" t="inlineStr">
        <is>
          <t>가중: DCF 55%(5년 추정 투명), Comps 45%(피어셋 견조하나 배수 자체가 고평가 국면일 수 있음).</t>
        </is>
      </c>
    </row>
    <row r="14">
      <c r="A14" s="41" t="inlineStr">
        <is>
          <t>역산: 현재주가는 영구성장률 6.3% 또는 WACC 6.5%를 가정해야 정당화됨 — 모두 기본 가정 대비 공격적.</t>
        </is>
      </c>
    </row>
    <row r="15">
      <c r="A15" s="41" t="inlineStr">
        <is>
          <t>셀사이드 컨센서스 목표주가는 약 $410로 본 모델과 크게 상이 — 가정 차이를 반드시 확인할 것.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2026-07-19T11:31:08Z</dcterms:created>
  <dcterms:modified xmlns:dcterms="http://purl.org/dc/terms/" xmlns:xsi="http://www.w3.org/2001/XMLSchema-instance" xsi:type="dcterms:W3CDTF">2026-07-19T11:34:20Z</dcterms:modified>
</cp:coreProperties>
</file>
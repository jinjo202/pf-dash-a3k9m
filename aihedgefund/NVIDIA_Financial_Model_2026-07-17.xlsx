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Model" sheetId="1" state="visible" r:id="rId1"/>
    <sheet name="Income Statement" sheetId="2" state="visible" r:id="rId2"/>
    <sheet name="Cash Flow" sheetId="3" state="visible" r:id="rId3"/>
    <sheet name="Balance Sheet" sheetId="4" state="visible" r:id="rId4"/>
    <sheet name="Scenarios" sheetId="5" state="visible" r:id="rId5"/>
    <sheet name="DCF Inputs" sheetId="6" state="visible" r:id="rId6"/>
    <sheet name="DCF" sheetId="7" state="visible" r:id="rId7"/>
    <sheet name="DCF Sensitivity" sheetId="8" state="visible" r:id="rId8"/>
    <sheet name="Comps" sheetId="9" state="visible" r:id="rId9"/>
    <sheet name="Valuation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(#,##0.0)"/>
    <numFmt numFmtId="165" formatCode="0.0%"/>
    <numFmt numFmtId="166" formatCode="$0.00"/>
    <numFmt numFmtId="167" formatCode="0.000"/>
    <numFmt numFmtId="168" formatCode="0.0&quot;x&quot;"/>
  </numFmts>
  <fonts count="13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i val="1"/>
      <color rgb="00595959"/>
      <sz val="9"/>
    </font>
    <font>
      <name val="Times New Roman"/>
      <b val="1"/>
      <color rgb="00FFFFFF"/>
      <sz val="10"/>
    </font>
    <font>
      <name val="Times New Roman"/>
      <b val="1"/>
      <sz val="10"/>
    </font>
    <font>
      <name val="Times New Roman"/>
      <sz val="10"/>
    </font>
    <font>
      <name val="Times New Roman"/>
      <color rgb="000000CC"/>
      <sz val="10"/>
    </font>
    <font>
      <name val="Times New Roman"/>
      <color rgb="00000000"/>
      <sz val="10"/>
    </font>
    <font>
      <name val="Times New Roman"/>
      <b val="1"/>
      <color rgb="00000000"/>
      <sz val="10"/>
    </font>
    <font>
      <name val="Times New Roman"/>
      <color rgb="00008000"/>
      <sz val="10"/>
    </font>
    <font>
      <name val="Times New Roman"/>
      <b val="1"/>
      <color rgb="00008000"/>
      <sz val="10"/>
    </font>
    <font>
      <name val="Times New Roman"/>
      <b val="1"/>
      <color rgb="000000CC"/>
      <sz val="10"/>
    </font>
    <font>
      <name val="Times New Roman"/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left"/>
    </xf>
    <xf numFmtId="164" fontId="8" fillId="4" borderId="0" applyAlignment="1" pivotButton="0" quotePrefix="0" xfId="0">
      <alignment horizontal="right"/>
    </xf>
    <xf numFmtId="164" fontId="10" fillId="4" borderId="0" applyAlignment="1" pivotButton="0" quotePrefix="0" xfId="0">
      <alignment horizontal="right"/>
    </xf>
    <xf numFmtId="166" fontId="8" fillId="4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164" fontId="9" fillId="0" borderId="0" pivotButton="0" quotePrefix="0" xfId="0"/>
    <xf numFmtId="164" fontId="11" fillId="4" borderId="0" applyAlignment="1" pivotButton="0" quotePrefix="0" xfId="0">
      <alignment horizontal="right"/>
    </xf>
    <xf numFmtId="164" fontId="9" fillId="4" borderId="0" applyAlignment="1" pivotButton="0" quotePrefix="0" xfId="0">
      <alignment horizontal="right"/>
    </xf>
    <xf numFmtId="0" fontId="5" fillId="0" borderId="0" pivotButton="0" quotePrefix="0" xfId="0"/>
    <xf numFmtId="0" fontId="4" fillId="4" borderId="0" pivotButton="0" quotePrefix="0" xfId="0"/>
    <xf numFmtId="166" fontId="10" fillId="4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0" fontId="12" fillId="0" borderId="0" pivotButton="0" quotePrefix="0" xfId="0"/>
    <xf numFmtId="0" fontId="4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167" fontId="9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3" fillId="2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9" fillId="5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68" fontId="6" fillId="0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166" fontId="4" fillId="5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NVIDIA Corporation — Revenue Model</t>
        </is>
      </c>
    </row>
    <row r="2">
      <c r="A2" s="2" t="inlineStr">
        <is>
          <t>Segment build-up; projected on blue growth-rate inputs</t>
        </is>
      </c>
    </row>
    <row r="3">
      <c r="A3" s="2" t="inlineStr">
        <is>
          <t>US$M unless noted · FY ends late Jan · per-share split-adjusted (10:1 Jun-2024) · blue=input black=formula green=link</t>
        </is>
      </c>
    </row>
    <row r="5">
      <c r="A5" s="3" t="n"/>
      <c r="B5" s="4" t="inlineStr">
        <is>
          <t>FY2023</t>
        </is>
      </c>
      <c r="C5" s="4" t="inlineStr">
        <is>
          <t>FY2024</t>
        </is>
      </c>
      <c r="D5" s="4" t="inlineStr">
        <is>
          <t>FY2025</t>
        </is>
      </c>
      <c r="E5" s="4" t="inlineStr">
        <is>
          <t>FY2026</t>
        </is>
      </c>
      <c r="F5" s="4" t="inlineStr">
        <is>
          <t>FY2027E</t>
        </is>
      </c>
      <c r="G5" s="4" t="inlineStr">
        <is>
          <t>FY2028E</t>
        </is>
      </c>
      <c r="H5" s="4" t="inlineStr">
        <is>
          <t>FY2029E</t>
        </is>
      </c>
      <c r="I5" s="4" t="inlineStr">
        <is>
          <t>FY2030E</t>
        </is>
      </c>
      <c r="J5" s="4" t="inlineStr">
        <is>
          <t>FY2031E</t>
        </is>
      </c>
    </row>
    <row r="6">
      <c r="A6" s="5" t="inlineStr">
        <is>
          <t>REVENUE BY SEGMENT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 xml:space="preserve">  Data Center</t>
        </is>
      </c>
      <c r="B7" s="8" t="n">
        <v>15005</v>
      </c>
      <c r="C7" s="8" t="n">
        <v>47525</v>
      </c>
      <c r="D7" s="8" t="n">
        <v>115186</v>
      </c>
      <c r="E7" s="8" t="n">
        <v>193737</v>
      </c>
      <c r="F7" s="9">
        <f>E7*(1+F8)</f>
        <v/>
      </c>
      <c r="G7" s="9">
        <f>F7*(1+G8)</f>
        <v/>
      </c>
      <c r="H7" s="9">
        <f>G7*(1+H8)</f>
        <v/>
      </c>
      <c r="I7" s="9">
        <f>H7*(1+I8)</f>
        <v/>
      </c>
      <c r="J7" s="9">
        <f>I7*(1+J8)</f>
        <v/>
      </c>
    </row>
    <row r="8">
      <c r="A8" s="7" t="inlineStr">
        <is>
          <t xml:space="preserve">    Data Center growth %</t>
        </is>
      </c>
      <c r="C8" s="10">
        <f>C7/B7-1</f>
        <v/>
      </c>
      <c r="D8" s="10">
        <f>D7/C7-1</f>
        <v/>
      </c>
      <c r="E8" s="10">
        <f>E7/D7-1</f>
        <v/>
      </c>
      <c r="F8" s="11" t="n">
        <v>0.78</v>
      </c>
      <c r="G8" s="11" t="n">
        <v>0.35</v>
      </c>
      <c r="H8" s="11" t="n">
        <v>0.22</v>
      </c>
      <c r="I8" s="11" t="n">
        <v>0.15</v>
      </c>
      <c r="J8" s="11" t="n">
        <v>0.12</v>
      </c>
    </row>
    <row r="9">
      <c r="A9" s="7" t="inlineStr">
        <is>
          <t xml:space="preserve">  Gaming</t>
        </is>
      </c>
      <c r="B9" s="8" t="n">
        <v>9067</v>
      </c>
      <c r="C9" s="8" t="n">
        <v>10447</v>
      </c>
      <c r="D9" s="8" t="n">
        <v>11350</v>
      </c>
      <c r="E9" s="8" t="n">
        <v>16042</v>
      </c>
      <c r="F9" s="9">
        <f>E9*(1+F10)</f>
        <v/>
      </c>
      <c r="G9" s="9">
        <f>F9*(1+G10)</f>
        <v/>
      </c>
      <c r="H9" s="9">
        <f>G9*(1+H10)</f>
        <v/>
      </c>
      <c r="I9" s="9">
        <f>H9*(1+I10)</f>
        <v/>
      </c>
      <c r="J9" s="9">
        <f>I9*(1+J10)</f>
        <v/>
      </c>
    </row>
    <row r="10">
      <c r="A10" s="7" t="inlineStr">
        <is>
          <t xml:space="preserve">    Gaming growth %</t>
        </is>
      </c>
      <c r="C10" s="10">
        <f>C9/B9-1</f>
        <v/>
      </c>
      <c r="D10" s="10">
        <f>D9/C9-1</f>
        <v/>
      </c>
      <c r="E10" s="10">
        <f>E9/D9-1</f>
        <v/>
      </c>
      <c r="F10" s="11" t="n">
        <v>0.12</v>
      </c>
      <c r="G10" s="11" t="n">
        <v>0.08</v>
      </c>
      <c r="H10" s="11" t="n">
        <v>0.06</v>
      </c>
      <c r="I10" s="11" t="n">
        <v>0.05</v>
      </c>
      <c r="J10" s="11" t="n">
        <v>0.05</v>
      </c>
    </row>
    <row r="11">
      <c r="A11" s="7" t="inlineStr">
        <is>
          <t xml:space="preserve">  Professional Visualization</t>
        </is>
      </c>
      <c r="B11" s="8" t="n">
        <v>1544</v>
      </c>
      <c r="C11" s="8" t="n">
        <v>1553</v>
      </c>
      <c r="D11" s="8" t="n">
        <v>1878</v>
      </c>
      <c r="E11" s="8" t="n">
        <v>3191</v>
      </c>
      <c r="F11" s="9">
        <f>E11*(1+F12)</f>
        <v/>
      </c>
      <c r="G11" s="9">
        <f>F11*(1+G12)</f>
        <v/>
      </c>
      <c r="H11" s="9">
        <f>G11*(1+H12)</f>
        <v/>
      </c>
      <c r="I11" s="9">
        <f>H11*(1+I12)</f>
        <v/>
      </c>
      <c r="J11" s="9">
        <f>I11*(1+J12)</f>
        <v/>
      </c>
    </row>
    <row r="12">
      <c r="A12" s="7" t="inlineStr">
        <is>
          <t xml:space="preserve">    Professional Visualization growth %</t>
        </is>
      </c>
      <c r="C12" s="10">
        <f>C11/B11-1</f>
        <v/>
      </c>
      <c r="D12" s="10">
        <f>D11/C11-1</f>
        <v/>
      </c>
      <c r="E12" s="10">
        <f>E11/D11-1</f>
        <v/>
      </c>
      <c r="F12" s="11" t="n">
        <v>0.15</v>
      </c>
      <c r="G12" s="11" t="n">
        <v>0.12</v>
      </c>
      <c r="H12" s="11" t="n">
        <v>0.1</v>
      </c>
      <c r="I12" s="11" t="n">
        <v>0.08</v>
      </c>
      <c r="J12" s="11" t="n">
        <v>0.07000000000000001</v>
      </c>
    </row>
    <row r="13">
      <c r="A13" s="7" t="inlineStr">
        <is>
          <t xml:space="preserve">  Automotive &amp; Robotics</t>
        </is>
      </c>
      <c r="B13" s="8" t="n">
        <v>903</v>
      </c>
      <c r="C13" s="8" t="n">
        <v>1091</v>
      </c>
      <c r="D13" s="8" t="n">
        <v>1694</v>
      </c>
      <c r="E13" s="8" t="n">
        <v>2349</v>
      </c>
      <c r="F13" s="9">
        <f>E13*(1+F14)</f>
        <v/>
      </c>
      <c r="G13" s="9">
        <f>F13*(1+G14)</f>
        <v/>
      </c>
      <c r="H13" s="9">
        <f>G13*(1+H14)</f>
        <v/>
      </c>
      <c r="I13" s="9">
        <f>H13*(1+I14)</f>
        <v/>
      </c>
      <c r="J13" s="9">
        <f>I13*(1+J14)</f>
        <v/>
      </c>
    </row>
    <row r="14">
      <c r="A14" s="7" t="inlineStr">
        <is>
          <t xml:space="preserve">    Automotive &amp; Robotics growth %</t>
        </is>
      </c>
      <c r="C14" s="10">
        <f>C13/B13-1</f>
        <v/>
      </c>
      <c r="D14" s="10">
        <f>D13/C13-1</f>
        <v/>
      </c>
      <c r="E14" s="10">
        <f>E13/D13-1</f>
        <v/>
      </c>
      <c r="F14" s="11" t="n">
        <v>0.45</v>
      </c>
      <c r="G14" s="11" t="n">
        <v>0.38</v>
      </c>
      <c r="H14" s="11" t="n">
        <v>0.3</v>
      </c>
      <c r="I14" s="11" t="n">
        <v>0.25</v>
      </c>
      <c r="J14" s="11" t="n">
        <v>0.2</v>
      </c>
    </row>
    <row r="15">
      <c r="A15" s="7" t="inlineStr">
        <is>
          <t xml:space="preserve">  OEM &amp; Other</t>
        </is>
      </c>
      <c r="B15" s="8" t="n">
        <v>455</v>
      </c>
      <c r="C15" s="8" t="n">
        <v>306</v>
      </c>
      <c r="D15" s="8" t="n">
        <v>389</v>
      </c>
      <c r="E15" s="8" t="n">
        <v>619</v>
      </c>
      <c r="F15" s="9">
        <f>E15*(1+F16)</f>
        <v/>
      </c>
      <c r="G15" s="9">
        <f>F15*(1+G16)</f>
        <v/>
      </c>
      <c r="H15" s="9">
        <f>G15*(1+H16)</f>
        <v/>
      </c>
      <c r="I15" s="9">
        <f>H15*(1+I16)</f>
        <v/>
      </c>
      <c r="J15" s="9">
        <f>I15*(1+J16)</f>
        <v/>
      </c>
    </row>
    <row r="16">
      <c r="A16" s="7" t="inlineStr">
        <is>
          <t xml:space="preserve">    OEM &amp; Other growth %</t>
        </is>
      </c>
      <c r="C16" s="10">
        <f>C15/B15-1</f>
        <v/>
      </c>
      <c r="D16" s="10">
        <f>D15/C15-1</f>
        <v/>
      </c>
      <c r="E16" s="10">
        <f>E15/D15-1</f>
        <v/>
      </c>
      <c r="F16" s="11" t="n">
        <v>0.1</v>
      </c>
      <c r="G16" s="11" t="n">
        <v>0.08</v>
      </c>
      <c r="H16" s="11" t="n">
        <v>0.06</v>
      </c>
      <c r="I16" s="11" t="n">
        <v>0.05</v>
      </c>
      <c r="J16" s="11" t="n">
        <v>0.05</v>
      </c>
    </row>
    <row r="17">
      <c r="A17" s="12" t="inlineStr">
        <is>
          <t xml:space="preserve">  TOTAL REVENUE</t>
        </is>
      </c>
      <c r="B17" s="13">
        <f>B7+B9+B11+B13+B15</f>
        <v/>
      </c>
      <c r="C17" s="13">
        <f>C7+C9+C11+C13+C15</f>
        <v/>
      </c>
      <c r="D17" s="13">
        <f>D7+D9+D11+D13+D15</f>
        <v/>
      </c>
      <c r="E17" s="13">
        <f>E7+E9+E11+E13+E15</f>
        <v/>
      </c>
      <c r="F17" s="13">
        <f>F7+F9+F11+F13+F15</f>
        <v/>
      </c>
      <c r="G17" s="13">
        <f>G7+G9+G11+G13+G15</f>
        <v/>
      </c>
      <c r="H17" s="13">
        <f>H7+H9+H11+H13+H15</f>
        <v/>
      </c>
      <c r="I17" s="13">
        <f>I7+I9+I11+I13+I15</f>
        <v/>
      </c>
      <c r="J17" s="13">
        <f>J7+J9+J11+J13+J15</f>
        <v/>
      </c>
    </row>
    <row r="18">
      <c r="A18" s="7" t="inlineStr">
        <is>
          <t xml:space="preserve">    Total revenue growth %</t>
        </is>
      </c>
      <c r="C18" s="10">
        <f>IF(B17=0,"",C17/B17-1)</f>
        <v/>
      </c>
      <c r="D18" s="10">
        <f>IF(C17=0,"",D17/C17-1)</f>
        <v/>
      </c>
      <c r="E18" s="10">
        <f>IF(D17=0,"",E17/D17-1)</f>
        <v/>
      </c>
      <c r="F18" s="10">
        <f>IF(E17=0,"",F17/E17-1)</f>
        <v/>
      </c>
      <c r="G18" s="10">
        <f>IF(F17=0,"",G17/F17-1)</f>
        <v/>
      </c>
      <c r="H18" s="10">
        <f>IF(G17=0,"",H17/G17-1)</f>
        <v/>
      </c>
      <c r="I18" s="10">
        <f>IF(H17=0,"",I17/H17-1)</f>
        <v/>
      </c>
      <c r="J18" s="10">
        <f>IF(I17=0,"",J17/I17-1)</f>
        <v/>
      </c>
    </row>
    <row r="20">
      <c r="A20" s="5" t="inlineStr">
        <is>
          <t>SEGMENT MIX (% of total)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7" t="inlineStr">
        <is>
          <t xml:space="preserve">    Data Center</t>
        </is>
      </c>
      <c r="B21" s="10">
        <f>IF(B17=0,"",B7/B17)</f>
        <v/>
      </c>
      <c r="C21" s="10">
        <f>IF(C17=0,"",C7/C17)</f>
        <v/>
      </c>
      <c r="D21" s="10">
        <f>IF(D17=0,"",D7/D17)</f>
        <v/>
      </c>
      <c r="E21" s="10">
        <f>IF(E17=0,"",E7/E17)</f>
        <v/>
      </c>
      <c r="F21" s="10">
        <f>IF(F17=0,"",F7/F17)</f>
        <v/>
      </c>
      <c r="G21" s="10">
        <f>IF(G17=0,"",G7/G17)</f>
        <v/>
      </c>
      <c r="H21" s="10">
        <f>IF(H17=0,"",H7/H17)</f>
        <v/>
      </c>
      <c r="I21" s="10">
        <f>IF(I17=0,"",I7/I17)</f>
        <v/>
      </c>
      <c r="J21" s="10">
        <f>IF(J17=0,"",J7/J17)</f>
        <v/>
      </c>
    </row>
    <row r="22">
      <c r="A22" s="7" t="inlineStr">
        <is>
          <t xml:space="preserve">    Gaming</t>
        </is>
      </c>
      <c r="B22" s="10">
        <f>IF(B17=0,"",B9/B17)</f>
        <v/>
      </c>
      <c r="C22" s="10">
        <f>IF(C17=0,"",C9/C17)</f>
        <v/>
      </c>
      <c r="D22" s="10">
        <f>IF(D17=0,"",D9/D17)</f>
        <v/>
      </c>
      <c r="E22" s="10">
        <f>IF(E17=0,"",E9/E17)</f>
        <v/>
      </c>
      <c r="F22" s="10">
        <f>IF(F17=0,"",F9/F17)</f>
        <v/>
      </c>
      <c r="G22" s="10">
        <f>IF(G17=0,"",G9/G17)</f>
        <v/>
      </c>
      <c r="H22" s="10">
        <f>IF(H17=0,"",H9/H17)</f>
        <v/>
      </c>
      <c r="I22" s="10">
        <f>IF(I17=0,"",I9/I17)</f>
        <v/>
      </c>
      <c r="J22" s="10">
        <f>IF(J17=0,"",J9/J17)</f>
        <v/>
      </c>
    </row>
    <row r="23">
      <c r="A23" s="7" t="inlineStr">
        <is>
          <t xml:space="preserve">    Professional Visualization</t>
        </is>
      </c>
      <c r="B23" s="10">
        <f>IF(B17=0,"",B11/B17)</f>
        <v/>
      </c>
      <c r="C23" s="10">
        <f>IF(C17=0,"",C11/C17)</f>
        <v/>
      </c>
      <c r="D23" s="10">
        <f>IF(D17=0,"",D11/D17)</f>
        <v/>
      </c>
      <c r="E23" s="10">
        <f>IF(E17=0,"",E11/E17)</f>
        <v/>
      </c>
      <c r="F23" s="10">
        <f>IF(F17=0,"",F11/F17)</f>
        <v/>
      </c>
      <c r="G23" s="10">
        <f>IF(G17=0,"",G11/G17)</f>
        <v/>
      </c>
      <c r="H23" s="10">
        <f>IF(H17=0,"",H11/H17)</f>
        <v/>
      </c>
      <c r="I23" s="10">
        <f>IF(I17=0,"",I11/I17)</f>
        <v/>
      </c>
      <c r="J23" s="10">
        <f>IF(J17=0,"",J11/J17)</f>
        <v/>
      </c>
    </row>
    <row r="24">
      <c r="A24" s="7" t="inlineStr">
        <is>
          <t xml:space="preserve">    Automotive &amp; Robotics</t>
        </is>
      </c>
      <c r="B24" s="10">
        <f>IF(B17=0,"",B13/B17)</f>
        <v/>
      </c>
      <c r="C24" s="10">
        <f>IF(C17=0,"",C13/C17)</f>
        <v/>
      </c>
      <c r="D24" s="10">
        <f>IF(D17=0,"",D13/D17)</f>
        <v/>
      </c>
      <c r="E24" s="10">
        <f>IF(E17=0,"",E13/E17)</f>
        <v/>
      </c>
      <c r="F24" s="10">
        <f>IF(F17=0,"",F13/F17)</f>
        <v/>
      </c>
      <c r="G24" s="10">
        <f>IF(G17=0,"",G13/G17)</f>
        <v/>
      </c>
      <c r="H24" s="10">
        <f>IF(H17=0,"",H13/H17)</f>
        <v/>
      </c>
      <c r="I24" s="10">
        <f>IF(I17=0,"",I13/I17)</f>
        <v/>
      </c>
      <c r="J24" s="10">
        <f>IF(J17=0,"",J13/J17)</f>
        <v/>
      </c>
    </row>
    <row r="25">
      <c r="A25" s="7" t="inlineStr">
        <is>
          <t xml:space="preserve">    OEM &amp; Other</t>
        </is>
      </c>
      <c r="B25" s="10">
        <f>IF(B17=0,"",B15/B17)</f>
        <v/>
      </c>
      <c r="C25" s="10">
        <f>IF(C17=0,"",C15/C17)</f>
        <v/>
      </c>
      <c r="D25" s="10">
        <f>IF(D17=0,"",D15/D17)</f>
        <v/>
      </c>
      <c r="E25" s="10">
        <f>IF(E17=0,"",E15/E17)</f>
        <v/>
      </c>
      <c r="F25" s="10">
        <f>IF(F17=0,"",F15/F17)</f>
        <v/>
      </c>
      <c r="G25" s="10">
        <f>IF(G17=0,"",G15/G17)</f>
        <v/>
      </c>
      <c r="H25" s="10">
        <f>IF(H17=0,"",H15/H17)</f>
        <v/>
      </c>
      <c r="I25" s="10">
        <f>IF(I17=0,"",I15/I17)</f>
        <v/>
      </c>
      <c r="J25" s="10">
        <f>IF(J17=0,"",J15/J17)</f>
        <v/>
      </c>
    </row>
    <row r="27">
      <c r="A27" s="5" t="inlineStr">
        <is>
          <t>REVENUE BY GEOGRAPHY (billed-to; % × total, estimated from 10-K)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7" t="inlineStr">
        <is>
          <t xml:space="preserve">    United States %</t>
        </is>
      </c>
      <c r="B28" s="11" t="n">
        <v>0.28</v>
      </c>
      <c r="C28" s="11" t="n">
        <v>0.35</v>
      </c>
      <c r="D28" s="11" t="n">
        <v>0.47</v>
      </c>
      <c r="E28" s="11" t="n">
        <v>0.52</v>
      </c>
      <c r="F28" s="11" t="n">
        <v>0.53</v>
      </c>
      <c r="G28" s="11" t="n">
        <v>0.54</v>
      </c>
      <c r="H28" s="11" t="n">
        <v>0.55</v>
      </c>
      <c r="I28" s="11" t="n">
        <v>0.55</v>
      </c>
      <c r="J28" s="11" t="n">
        <v>0.55</v>
      </c>
    </row>
    <row r="29">
      <c r="A29" s="7" t="inlineStr">
        <is>
          <t xml:space="preserve">    Taiwan %</t>
        </is>
      </c>
      <c r="B29" s="11" t="n">
        <v>0.24</v>
      </c>
      <c r="C29" s="11" t="n">
        <v>0.22</v>
      </c>
      <c r="D29" s="11" t="n">
        <v>0.16</v>
      </c>
      <c r="E29" s="11" t="n">
        <v>0.14</v>
      </c>
      <c r="F29" s="11" t="n">
        <v>0.14</v>
      </c>
      <c r="G29" s="11" t="n">
        <v>0.13</v>
      </c>
      <c r="H29" s="11" t="n">
        <v>0.13</v>
      </c>
      <c r="I29" s="11" t="n">
        <v>0.13</v>
      </c>
      <c r="J29" s="11" t="n">
        <v>0.13</v>
      </c>
    </row>
    <row r="30">
      <c r="A30" s="7" t="inlineStr">
        <is>
          <t xml:space="preserve">    China (incl. HK) %</t>
        </is>
      </c>
      <c r="B30" s="11" t="n">
        <v>0.26</v>
      </c>
      <c r="C30" s="11" t="n">
        <v>0.22</v>
      </c>
      <c r="D30" s="11" t="n">
        <v>0.13</v>
      </c>
      <c r="E30" s="11" t="n">
        <v>0.05</v>
      </c>
      <c r="F30" s="11" t="n">
        <v>0.04</v>
      </c>
      <c r="G30" s="11" t="n">
        <v>0.04</v>
      </c>
      <c r="H30" s="11" t="n">
        <v>0.04</v>
      </c>
      <c r="I30" s="11" t="n">
        <v>0.04</v>
      </c>
      <c r="J30" s="11" t="n">
        <v>0.04</v>
      </c>
    </row>
    <row r="31">
      <c r="A31" s="7" t="inlineStr">
        <is>
          <t xml:space="preserve">    Other Asia-Pacific %</t>
        </is>
      </c>
      <c r="B31" s="11" t="n">
        <v>0.14</v>
      </c>
      <c r="C31" s="11" t="n">
        <v>0.13</v>
      </c>
      <c r="D31" s="11" t="n">
        <v>0.16</v>
      </c>
      <c r="E31" s="11" t="n">
        <v>0.19</v>
      </c>
      <c r="F31" s="11" t="n">
        <v>0.19</v>
      </c>
      <c r="G31" s="11" t="n">
        <v>0.19</v>
      </c>
      <c r="H31" s="11" t="n">
        <v>0.18</v>
      </c>
      <c r="I31" s="11" t="n">
        <v>0.18</v>
      </c>
      <c r="J31" s="11" t="n">
        <v>0.18</v>
      </c>
    </row>
    <row r="32">
      <c r="A32" s="7" t="inlineStr">
        <is>
          <t xml:space="preserve">    Europe / EMEA %</t>
        </is>
      </c>
      <c r="B32" s="11" t="n">
        <v>0.06</v>
      </c>
      <c r="C32" s="11" t="n">
        <v>0.06</v>
      </c>
      <c r="D32" s="11" t="n">
        <v>0.06</v>
      </c>
      <c r="E32" s="11" t="n">
        <v>0.08</v>
      </c>
      <c r="F32" s="11" t="n">
        <v>0.08</v>
      </c>
      <c r="G32" s="11" t="n">
        <v>0.08</v>
      </c>
      <c r="H32" s="11" t="n">
        <v>0.08</v>
      </c>
      <c r="I32" s="11" t="n">
        <v>0.08</v>
      </c>
      <c r="J32" s="11" t="n">
        <v>0.08</v>
      </c>
    </row>
    <row r="33">
      <c r="A33" s="7" t="inlineStr">
        <is>
          <t xml:space="preserve">    Rest of World %</t>
        </is>
      </c>
      <c r="B33" s="11" t="n">
        <v>0.02</v>
      </c>
      <c r="C33" s="11" t="n">
        <v>0.02</v>
      </c>
      <c r="D33" s="11" t="n">
        <v>0.02</v>
      </c>
      <c r="E33" s="11" t="n">
        <v>0.02</v>
      </c>
      <c r="F33" s="11" t="n">
        <v>0.02</v>
      </c>
      <c r="G33" s="11" t="n">
        <v>0.02</v>
      </c>
      <c r="H33" s="11" t="n">
        <v>0.02</v>
      </c>
      <c r="I33" s="11" t="n">
        <v>0.02</v>
      </c>
      <c r="J33" s="11" t="n">
        <v>0.02</v>
      </c>
    </row>
    <row r="34">
      <c r="A34" s="7" t="inlineStr">
        <is>
          <t xml:space="preserve">    United States ($M)</t>
        </is>
      </c>
      <c r="B34" s="9">
        <f>B28*B17</f>
        <v/>
      </c>
      <c r="C34" s="9">
        <f>C28*C17</f>
        <v/>
      </c>
      <c r="D34" s="9">
        <f>D28*D17</f>
        <v/>
      </c>
      <c r="E34" s="9">
        <f>E28*E17</f>
        <v/>
      </c>
      <c r="F34" s="9">
        <f>F28*F17</f>
        <v/>
      </c>
      <c r="G34" s="9">
        <f>G28*G17</f>
        <v/>
      </c>
      <c r="H34" s="9">
        <f>H28*H17</f>
        <v/>
      </c>
      <c r="I34" s="9">
        <f>I28*I17</f>
        <v/>
      </c>
      <c r="J34" s="9">
        <f>J28*J17</f>
        <v/>
      </c>
    </row>
    <row r="35">
      <c r="A35" s="7" t="inlineStr">
        <is>
          <t xml:space="preserve">    Taiwan ($M)</t>
        </is>
      </c>
      <c r="B35" s="9">
        <f>B29*B17</f>
        <v/>
      </c>
      <c r="C35" s="9">
        <f>C29*C17</f>
        <v/>
      </c>
      <c r="D35" s="9">
        <f>D29*D17</f>
        <v/>
      </c>
      <c r="E35" s="9">
        <f>E29*E17</f>
        <v/>
      </c>
      <c r="F35" s="9">
        <f>F29*F17</f>
        <v/>
      </c>
      <c r="G35" s="9">
        <f>G29*G17</f>
        <v/>
      </c>
      <c r="H35" s="9">
        <f>H29*H17</f>
        <v/>
      </c>
      <c r="I35" s="9">
        <f>I29*I17</f>
        <v/>
      </c>
      <c r="J35" s="9">
        <f>J29*J17</f>
        <v/>
      </c>
    </row>
    <row r="36">
      <c r="A36" s="7" t="inlineStr">
        <is>
          <t xml:space="preserve">    China (incl. HK) ($M)</t>
        </is>
      </c>
      <c r="B36" s="9">
        <f>B30*B17</f>
        <v/>
      </c>
      <c r="C36" s="9">
        <f>C30*C17</f>
        <v/>
      </c>
      <c r="D36" s="9">
        <f>D30*D17</f>
        <v/>
      </c>
      <c r="E36" s="9">
        <f>E30*E17</f>
        <v/>
      </c>
      <c r="F36" s="9">
        <f>F30*F17</f>
        <v/>
      </c>
      <c r="G36" s="9">
        <f>G30*G17</f>
        <v/>
      </c>
      <c r="H36" s="9">
        <f>H30*H17</f>
        <v/>
      </c>
      <c r="I36" s="9">
        <f>I30*I17</f>
        <v/>
      </c>
      <c r="J36" s="9">
        <f>J30*J17</f>
        <v/>
      </c>
    </row>
    <row r="37">
      <c r="A37" s="7" t="inlineStr">
        <is>
          <t xml:space="preserve">    Other Asia-Pacific ($M)</t>
        </is>
      </c>
      <c r="B37" s="9">
        <f>B31*B17</f>
        <v/>
      </c>
      <c r="C37" s="9">
        <f>C31*C17</f>
        <v/>
      </c>
      <c r="D37" s="9">
        <f>D31*D17</f>
        <v/>
      </c>
      <c r="E37" s="9">
        <f>E31*E17</f>
        <v/>
      </c>
      <c r="F37" s="9">
        <f>F31*F17</f>
        <v/>
      </c>
      <c r="G37" s="9">
        <f>G31*G17</f>
        <v/>
      </c>
      <c r="H37" s="9">
        <f>H31*H17</f>
        <v/>
      </c>
      <c r="I37" s="9">
        <f>I31*I17</f>
        <v/>
      </c>
      <c r="J37" s="9">
        <f>J31*J17</f>
        <v/>
      </c>
    </row>
    <row r="38">
      <c r="A38" s="7" t="inlineStr">
        <is>
          <t xml:space="preserve">    Europe / EMEA ($M)</t>
        </is>
      </c>
      <c r="B38" s="9">
        <f>B32*B17</f>
        <v/>
      </c>
      <c r="C38" s="9">
        <f>C32*C17</f>
        <v/>
      </c>
      <c r="D38" s="9">
        <f>D32*D17</f>
        <v/>
      </c>
      <c r="E38" s="9">
        <f>E32*E17</f>
        <v/>
      </c>
      <c r="F38" s="9">
        <f>F32*F17</f>
        <v/>
      </c>
      <c r="G38" s="9">
        <f>G32*G17</f>
        <v/>
      </c>
      <c r="H38" s="9">
        <f>H32*H17</f>
        <v/>
      </c>
      <c r="I38" s="9">
        <f>I32*I17</f>
        <v/>
      </c>
      <c r="J38" s="9">
        <f>J32*J17</f>
        <v/>
      </c>
    </row>
    <row r="39">
      <c r="A39" s="7" t="inlineStr">
        <is>
          <t xml:space="preserve">    Rest of World ($M)</t>
        </is>
      </c>
      <c r="B39" s="9">
        <f>B33*B17</f>
        <v/>
      </c>
      <c r="C39" s="9">
        <f>C33*C17</f>
        <v/>
      </c>
      <c r="D39" s="9">
        <f>D33*D17</f>
        <v/>
      </c>
      <c r="E39" s="9">
        <f>E33*E17</f>
        <v/>
      </c>
      <c r="F39" s="9">
        <f>F33*F17</f>
        <v/>
      </c>
      <c r="G39" s="9">
        <f>G33*G17</f>
        <v/>
      </c>
      <c r="H39" s="9">
        <f>H33*H17</f>
        <v/>
      </c>
      <c r="I39" s="9">
        <f>I33*I17</f>
        <v/>
      </c>
      <c r="J39" s="9">
        <f>J33*J17</f>
        <v/>
      </c>
    </row>
    <row r="40">
      <c r="A40" s="7" t="inlineStr">
        <is>
          <t xml:space="preserve">  Geography check (≈0)</t>
        </is>
      </c>
      <c r="B40" s="9">
        <f>SUM(B34:B39)-B17</f>
        <v/>
      </c>
      <c r="C40" s="9">
        <f>SUM(C34:C39)-C17</f>
        <v/>
      </c>
      <c r="D40" s="9">
        <f>SUM(D34:D39)-D17</f>
        <v/>
      </c>
      <c r="E40" s="9">
        <f>SUM(E34:E39)-E17</f>
        <v/>
      </c>
      <c r="F40" s="9">
        <f>SUM(F34:F39)-F17</f>
        <v/>
      </c>
      <c r="G40" s="9">
        <f>SUM(G34:G39)-G17</f>
        <v/>
      </c>
      <c r="H40" s="9">
        <f>SUM(H34:H39)-H17</f>
        <v/>
      </c>
      <c r="I40" s="9">
        <f>SUM(I34:I39)-I17</f>
        <v/>
      </c>
      <c r="J40" s="9">
        <f>SUM(J34:J39)-J17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NVIDIA Corporation — Income Statement</t>
        </is>
      </c>
    </row>
    <row r="2">
      <c r="A2" s="2" t="inlineStr">
        <is>
          <t>Actuals (blue) + margin-driven projections; revenue linked from Revenue Model</t>
        </is>
      </c>
    </row>
    <row r="3">
      <c r="A3" s="2" t="inlineStr">
        <is>
          <t>US$M unless noted · FY ends late Jan · per-share split-adjusted (10:1 Jun-2024) · blue=input black=formula green=link</t>
        </is>
      </c>
    </row>
    <row r="4"/>
    <row r="5">
      <c r="A5" s="3" t="n"/>
      <c r="B5" s="4" t="inlineStr">
        <is>
          <t>FY2023</t>
        </is>
      </c>
      <c r="C5" s="4" t="inlineStr">
        <is>
          <t>FY2024</t>
        </is>
      </c>
      <c r="D5" s="4" t="inlineStr">
        <is>
          <t>FY2025</t>
        </is>
      </c>
      <c r="E5" s="4" t="inlineStr">
        <is>
          <t>FY2026</t>
        </is>
      </c>
      <c r="F5" s="4" t="inlineStr">
        <is>
          <t>FY2027E</t>
        </is>
      </c>
      <c r="G5" s="4" t="inlineStr">
        <is>
          <t>FY2028E</t>
        </is>
      </c>
      <c r="H5" s="4" t="inlineStr">
        <is>
          <t>FY2029E</t>
        </is>
      </c>
      <c r="I5" s="4" t="inlineStr">
        <is>
          <t>FY2030E</t>
        </is>
      </c>
      <c r="J5" s="4" t="inlineStr">
        <is>
          <t>FY2031E</t>
        </is>
      </c>
    </row>
    <row r="6">
      <c r="A6" s="5" t="inlineStr">
        <is>
          <t>INCOME STATEMENT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12" t="inlineStr">
        <is>
          <t xml:space="preserve">  Total revenue</t>
        </is>
      </c>
      <c r="B7" s="14">
        <f>'Revenue Model'!B17</f>
        <v/>
      </c>
      <c r="C7" s="14">
        <f>'Revenue Model'!C17</f>
        <v/>
      </c>
      <c r="D7" s="14">
        <f>'Revenue Model'!D17</f>
        <v/>
      </c>
      <c r="E7" s="14">
        <f>'Revenue Model'!E17</f>
        <v/>
      </c>
      <c r="F7" s="14">
        <f>'Revenue Model'!F17</f>
        <v/>
      </c>
      <c r="G7" s="14">
        <f>'Revenue Model'!G17</f>
        <v/>
      </c>
      <c r="H7" s="14">
        <f>'Revenue Model'!H17</f>
        <v/>
      </c>
      <c r="I7" s="14">
        <f>'Revenue Model'!I17</f>
        <v/>
      </c>
      <c r="J7" s="14">
        <f>'Revenue Model'!J17</f>
        <v/>
      </c>
    </row>
    <row r="8">
      <c r="A8" s="7" t="inlineStr">
        <is>
          <t xml:space="preserve">    Revenue growth %</t>
        </is>
      </c>
      <c r="C8" s="10">
        <f>IF(B7=0,"",C7/B7-1)</f>
        <v/>
      </c>
      <c r="D8" s="10">
        <f>IF(C7=0,"",D7/C7-1)</f>
        <v/>
      </c>
      <c r="E8" s="10">
        <f>IF(D7=0,"",E7/D7-1)</f>
        <v/>
      </c>
      <c r="F8" s="10">
        <f>IF(E7=0,"",F7/E7-1)</f>
        <v/>
      </c>
      <c r="G8" s="10">
        <f>IF(F7=0,"",G7/F7-1)</f>
        <v/>
      </c>
      <c r="H8" s="10">
        <f>IF(G7=0,"",H7/G7-1)</f>
        <v/>
      </c>
      <c r="I8" s="10">
        <f>IF(H7=0,"",I7/H7-1)</f>
        <v/>
      </c>
      <c r="J8" s="10">
        <f>IF(I7=0,"",J7/I7-1)</f>
        <v/>
      </c>
    </row>
    <row r="9">
      <c r="A9" s="7" t="inlineStr">
        <is>
          <t xml:space="preserve">    Gross margin % (assump)</t>
        </is>
      </c>
      <c r="B9" s="10" t="n">
        <v>0.5693</v>
      </c>
      <c r="C9" s="10" t="n">
        <v>0.7272</v>
      </c>
      <c r="D9" s="10" t="n">
        <v>0.7499</v>
      </c>
      <c r="E9" s="10" t="n">
        <v>0.7107</v>
      </c>
      <c r="F9" s="11" t="n">
        <v>0.735</v>
      </c>
      <c r="G9" s="11" t="n">
        <v>0.735</v>
      </c>
      <c r="H9" s="11" t="n">
        <v>0.73</v>
      </c>
      <c r="I9" s="11" t="n">
        <v>0.725</v>
      </c>
      <c r="J9" s="11" t="n">
        <v>0.72</v>
      </c>
    </row>
    <row r="10">
      <c r="A10" s="7" t="inlineStr">
        <is>
          <t xml:space="preserve">  Cost of revenue</t>
        </is>
      </c>
      <c r="B10" s="9">
        <f>B7*(1-B9)</f>
        <v/>
      </c>
      <c r="C10" s="9">
        <f>C7*(1-C9)</f>
        <v/>
      </c>
      <c r="D10" s="9">
        <f>D7*(1-D9)</f>
        <v/>
      </c>
      <c r="E10" s="9">
        <f>E7*(1-E9)</f>
        <v/>
      </c>
      <c r="F10" s="9">
        <f>F7*(1-F9)</f>
        <v/>
      </c>
      <c r="G10" s="9">
        <f>G7*(1-G9)</f>
        <v/>
      </c>
      <c r="H10" s="9">
        <f>H7*(1-H9)</f>
        <v/>
      </c>
      <c r="I10" s="9">
        <f>I7*(1-I9)</f>
        <v/>
      </c>
      <c r="J10" s="9">
        <f>J7*(1-J9)</f>
        <v/>
      </c>
    </row>
    <row r="11">
      <c r="A11" s="12" t="inlineStr">
        <is>
          <t xml:space="preserve">  Gross profit</t>
        </is>
      </c>
      <c r="B11" s="13">
        <f>B7-B10</f>
        <v/>
      </c>
      <c r="C11" s="13">
        <f>C7-C10</f>
        <v/>
      </c>
      <c r="D11" s="13">
        <f>D7-D10</f>
        <v/>
      </c>
      <c r="E11" s="13">
        <f>E7-E10</f>
        <v/>
      </c>
      <c r="F11" s="13">
        <f>F7-F10</f>
        <v/>
      </c>
      <c r="G11" s="13">
        <f>G7-G10</f>
        <v/>
      </c>
      <c r="H11" s="13">
        <f>H7-H10</f>
        <v/>
      </c>
      <c r="I11" s="13">
        <f>I7-I10</f>
        <v/>
      </c>
      <c r="J11" s="13">
        <f>J7-J10</f>
        <v/>
      </c>
    </row>
    <row r="12">
      <c r="A12" s="5" t="inlineStr">
        <is>
          <t>OPERATING EXPENSES ($M)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inlineStr">
        <is>
          <t xml:space="preserve">    R&amp;D % of rev (assump)</t>
        </is>
      </c>
      <c r="B13" s="10" t="n">
        <v>0.2721</v>
      </c>
      <c r="C13" s="10" t="n">
        <v>0.1424</v>
      </c>
      <c r="D13" s="10" t="n">
        <v>0.099</v>
      </c>
      <c r="E13" s="10" t="n">
        <v>0.0857</v>
      </c>
      <c r="F13" s="11" t="n">
        <v>0.115</v>
      </c>
      <c r="G13" s="11" t="n">
        <v>0.12</v>
      </c>
      <c r="H13" s="11" t="n">
        <v>0.125</v>
      </c>
      <c r="I13" s="11" t="n">
        <v>0.13</v>
      </c>
      <c r="J13" s="11" t="n">
        <v>0.13</v>
      </c>
    </row>
    <row r="14">
      <c r="A14" s="7" t="inlineStr">
        <is>
          <t xml:space="preserve">  Research &amp; development</t>
        </is>
      </c>
      <c r="B14" s="9">
        <f>B7*B13</f>
        <v/>
      </c>
      <c r="C14" s="9">
        <f>C7*C13</f>
        <v/>
      </c>
      <c r="D14" s="9">
        <f>D7*D13</f>
        <v/>
      </c>
      <c r="E14" s="9">
        <f>E7*E13</f>
        <v/>
      </c>
      <c r="F14" s="9">
        <f>F7*F13</f>
        <v/>
      </c>
      <c r="G14" s="9">
        <f>G7*G13</f>
        <v/>
      </c>
      <c r="H14" s="9">
        <f>H7*H13</f>
        <v/>
      </c>
      <c r="I14" s="9">
        <f>I7*I13</f>
        <v/>
      </c>
      <c r="J14" s="9">
        <f>J7*J13</f>
        <v/>
      </c>
    </row>
    <row r="15">
      <c r="A15" s="7" t="inlineStr">
        <is>
          <t xml:space="preserve">    SG&amp;A % of rev (assump)</t>
        </is>
      </c>
      <c r="B15" s="10" t="n">
        <v>0.0905</v>
      </c>
      <c r="C15" s="10" t="n">
        <v>0.0436</v>
      </c>
      <c r="D15" s="10" t="n">
        <v>0.0268</v>
      </c>
      <c r="E15" s="10" t="n">
        <v>0.0212</v>
      </c>
      <c r="F15" s="11" t="n">
        <v>0.03</v>
      </c>
      <c r="G15" s="11" t="n">
        <v>0.032</v>
      </c>
      <c r="H15" s="11" t="n">
        <v>0.034</v>
      </c>
      <c r="I15" s="11" t="n">
        <v>0.035</v>
      </c>
      <c r="J15" s="11" t="n">
        <v>0.035</v>
      </c>
    </row>
    <row r="16">
      <c r="A16" s="7" t="inlineStr">
        <is>
          <t xml:space="preserve">  Selling, general &amp; admin</t>
        </is>
      </c>
      <c r="B16" s="9">
        <f>B7*B15</f>
        <v/>
      </c>
      <c r="C16" s="9">
        <f>C7*C15</f>
        <v/>
      </c>
      <c r="D16" s="9">
        <f>D7*D15</f>
        <v/>
      </c>
      <c r="E16" s="9">
        <f>E7*E15</f>
        <v/>
      </c>
      <c r="F16" s="9">
        <f>F7*F15</f>
        <v/>
      </c>
      <c r="G16" s="9">
        <f>G7*G15</f>
        <v/>
      </c>
      <c r="H16" s="9">
        <f>H7*H15</f>
        <v/>
      </c>
      <c r="I16" s="9">
        <f>I7*I15</f>
        <v/>
      </c>
      <c r="J16" s="9">
        <f>J7*J15</f>
        <v/>
      </c>
    </row>
    <row r="17">
      <c r="A17" s="12" t="inlineStr">
        <is>
          <t xml:space="preserve">  Total operating expenses</t>
        </is>
      </c>
      <c r="B17" s="13">
        <f>B14+B16</f>
        <v/>
      </c>
      <c r="C17" s="13">
        <f>C14+C16</f>
        <v/>
      </c>
      <c r="D17" s="13">
        <f>D14+D16</f>
        <v/>
      </c>
      <c r="E17" s="13">
        <f>E14+E16</f>
        <v/>
      </c>
      <c r="F17" s="13">
        <f>F14+F16</f>
        <v/>
      </c>
      <c r="G17" s="13">
        <f>G14+G16</f>
        <v/>
      </c>
      <c r="H17" s="13">
        <f>H14+H16</f>
        <v/>
      </c>
      <c r="I17" s="13">
        <f>I14+I16</f>
        <v/>
      </c>
      <c r="J17" s="13">
        <f>J14+J16</f>
        <v/>
      </c>
    </row>
    <row r="18">
      <c r="A18" s="7" t="inlineStr">
        <is>
          <t xml:space="preserve">    Other operating items (net)</t>
        </is>
      </c>
      <c r="B18" s="8" t="n">
        <v>1353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</row>
    <row r="19">
      <c r="A19" s="12" t="inlineStr">
        <is>
          <t xml:space="preserve">  Operating income (EBIT)</t>
        </is>
      </c>
      <c r="B19" s="13">
        <f>B11-B17-B18</f>
        <v/>
      </c>
      <c r="C19" s="13">
        <f>C11-C17-C18</f>
        <v/>
      </c>
      <c r="D19" s="13">
        <f>D11-D17-D18</f>
        <v/>
      </c>
      <c r="E19" s="13">
        <f>E11-E17-E18</f>
        <v/>
      </c>
      <c r="F19" s="13">
        <f>F11-F17-F18</f>
        <v/>
      </c>
      <c r="G19" s="13">
        <f>G11-G17-G18</f>
        <v/>
      </c>
      <c r="H19" s="13">
        <f>H11-H17-H18</f>
        <v/>
      </c>
      <c r="I19" s="13">
        <f>I11-I17-I18</f>
        <v/>
      </c>
      <c r="J19" s="13">
        <f>J11-J17-J18</f>
        <v/>
      </c>
    </row>
    <row r="20">
      <c r="A20" s="7" t="inlineStr">
        <is>
          <t xml:space="preserve">    EBIT margin %</t>
        </is>
      </c>
      <c r="B20" s="10">
        <f>IF(B7=0,"",B19/B7)</f>
        <v/>
      </c>
      <c r="C20" s="10">
        <f>IF(C7=0,"",C19/C7)</f>
        <v/>
      </c>
      <c r="D20" s="10">
        <f>IF(D7=0,"",D19/D7)</f>
        <v/>
      </c>
      <c r="E20" s="10">
        <f>IF(E7=0,"",E19/E7)</f>
        <v/>
      </c>
      <c r="F20" s="10">
        <f>IF(F7=0,"",F19/F7)</f>
        <v/>
      </c>
      <c r="G20" s="10">
        <f>IF(G7=0,"",G19/G7)</f>
        <v/>
      </c>
      <c r="H20" s="10">
        <f>IF(H7=0,"",H19/H7)</f>
        <v/>
      </c>
      <c r="I20" s="10">
        <f>IF(I7=0,"",I19/I7)</f>
        <v/>
      </c>
      <c r="J20" s="10">
        <f>IF(J7=0,"",J19/J7)</f>
        <v/>
      </c>
    </row>
    <row r="21">
      <c r="A21" s="7" t="inlineStr">
        <is>
          <t xml:space="preserve">  Depreciation &amp; amortization</t>
        </is>
      </c>
      <c r="B21" s="8" t="n">
        <v>1544</v>
      </c>
      <c r="C21" s="8" t="n">
        <v>1508</v>
      </c>
      <c r="D21" s="8" t="n">
        <v>1864</v>
      </c>
      <c r="E21" s="8" t="n">
        <v>2843</v>
      </c>
      <c r="F21" s="9">
        <f>F7*0.02</f>
        <v/>
      </c>
      <c r="G21" s="9">
        <f>G7*0.022</f>
        <v/>
      </c>
      <c r="H21" s="9">
        <f>H7*0.024</f>
        <v/>
      </c>
      <c r="I21" s="9">
        <f>I7*0.025</f>
        <v/>
      </c>
      <c r="J21" s="9">
        <f>J7*0.025</f>
        <v/>
      </c>
    </row>
    <row r="22">
      <c r="A22" s="12" t="inlineStr">
        <is>
          <t xml:space="preserve">  EBITDA</t>
        </is>
      </c>
      <c r="B22" s="13">
        <f>B19+B21</f>
        <v/>
      </c>
      <c r="C22" s="13">
        <f>C19+C21</f>
        <v/>
      </c>
      <c r="D22" s="13">
        <f>D19+D21</f>
        <v/>
      </c>
      <c r="E22" s="13">
        <f>E19+E21</f>
        <v/>
      </c>
      <c r="F22" s="13">
        <f>F19+F21</f>
        <v/>
      </c>
      <c r="G22" s="13">
        <f>G19+G21</f>
        <v/>
      </c>
      <c r="H22" s="13">
        <f>H19+H21</f>
        <v/>
      </c>
      <c r="I22" s="13">
        <f>I19+I21</f>
        <v/>
      </c>
      <c r="J22" s="13">
        <f>J19+J21</f>
        <v/>
      </c>
    </row>
    <row r="23">
      <c r="A23" s="7" t="inlineStr">
        <is>
          <t xml:space="preserve">    EBITDA margin %</t>
        </is>
      </c>
      <c r="B23" s="10">
        <f>IF(B7=0,"",B22/B7)</f>
        <v/>
      </c>
      <c r="C23" s="10">
        <f>IF(C7=0,"",C22/C7)</f>
        <v/>
      </c>
      <c r="D23" s="10">
        <f>IF(D7=0,"",D22/D7)</f>
        <v/>
      </c>
      <c r="E23" s="10">
        <f>IF(E7=0,"",E22/E7)</f>
        <v/>
      </c>
      <c r="F23" s="10">
        <f>IF(F7=0,"",F22/F7)</f>
        <v/>
      </c>
      <c r="G23" s="10">
        <f>IF(G7=0,"",G22/G7)</f>
        <v/>
      </c>
      <c r="H23" s="10">
        <f>IF(H7=0,"",H22/H7)</f>
        <v/>
      </c>
      <c r="I23" s="10">
        <f>IF(I7=0,"",I22/I7)</f>
        <v/>
      </c>
      <c r="J23" s="10">
        <f>IF(J7=0,"",J22/J7)</f>
        <v/>
      </c>
    </row>
    <row r="24">
      <c r="A24" s="5" t="inlineStr">
        <is>
          <t>NON-OPERATING &amp; TAXES ($M)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7" t="inlineStr">
        <is>
          <t xml:space="preserve">  Net interest &amp; other (norm.)</t>
        </is>
      </c>
      <c r="B25" s="8" t="n">
        <v>-43</v>
      </c>
      <c r="C25" s="8" t="n">
        <v>846</v>
      </c>
      <c r="D25" s="8" t="n">
        <v>2573</v>
      </c>
      <c r="E25" s="8" t="n">
        <v>11063</v>
      </c>
      <c r="F25" s="8" t="n">
        <v>2300</v>
      </c>
      <c r="G25" s="8" t="n">
        <v>2500</v>
      </c>
      <c r="H25" s="8" t="n">
        <v>2700</v>
      </c>
      <c r="I25" s="8" t="n">
        <v>2900</v>
      </c>
      <c r="J25" s="8" t="n">
        <v>3100</v>
      </c>
    </row>
    <row r="26">
      <c r="A26" s="12" t="inlineStr">
        <is>
          <t xml:space="preserve">  Pre-tax income</t>
        </is>
      </c>
      <c r="B26" s="13">
        <f>B19+B25</f>
        <v/>
      </c>
      <c r="C26" s="13">
        <f>C19+C25</f>
        <v/>
      </c>
      <c r="D26" s="13">
        <f>D19+D25</f>
        <v/>
      </c>
      <c r="E26" s="13">
        <f>E19+E25</f>
        <v/>
      </c>
      <c r="F26" s="13">
        <f>F19+F25</f>
        <v/>
      </c>
      <c r="G26" s="13">
        <f>G19+G25</f>
        <v/>
      </c>
      <c r="H26" s="13">
        <f>H19+H25</f>
        <v/>
      </c>
      <c r="I26" s="13">
        <f>I19+I25</f>
        <v/>
      </c>
      <c r="J26" s="13">
        <f>J19+J25</f>
        <v/>
      </c>
    </row>
    <row r="27">
      <c r="A27" s="7" t="inlineStr">
        <is>
          <t xml:space="preserve">    Tax rate % (assump)</t>
        </is>
      </c>
      <c r="B27" s="10" t="n">
        <v>-0.0447</v>
      </c>
      <c r="C27" s="10" t="n">
        <v>0.12</v>
      </c>
      <c r="D27" s="10" t="n">
        <v>0.1326</v>
      </c>
      <c r="E27" s="10" t="n">
        <v>0.1512</v>
      </c>
      <c r="F27" s="11" t="n">
        <v>0.16</v>
      </c>
      <c r="G27" s="11" t="n">
        <v>0.16</v>
      </c>
      <c r="H27" s="11" t="n">
        <v>0.16</v>
      </c>
      <c r="I27" s="11" t="n">
        <v>0.16</v>
      </c>
      <c r="J27" s="11" t="n">
        <v>0.16</v>
      </c>
    </row>
    <row r="28">
      <c r="A28" s="7" t="inlineStr">
        <is>
          <t xml:space="preserve">  Income tax expense</t>
        </is>
      </c>
      <c r="B28" s="9">
        <f>B26*B27</f>
        <v/>
      </c>
      <c r="C28" s="9">
        <f>C26*C27</f>
        <v/>
      </c>
      <c r="D28" s="9">
        <f>D26*D27</f>
        <v/>
      </c>
      <c r="E28" s="9">
        <f>E26*E27</f>
        <v/>
      </c>
      <c r="F28" s="9">
        <f>F26*F27</f>
        <v/>
      </c>
      <c r="G28" s="9">
        <f>G26*G27</f>
        <v/>
      </c>
      <c r="H28" s="9">
        <f>H26*H27</f>
        <v/>
      </c>
      <c r="I28" s="9">
        <f>I26*I27</f>
        <v/>
      </c>
      <c r="J28" s="9">
        <f>J26*J27</f>
        <v/>
      </c>
    </row>
    <row r="29">
      <c r="A29" s="12" t="inlineStr">
        <is>
          <t xml:space="preserve">  NET INCOME</t>
        </is>
      </c>
      <c r="B29" s="13">
        <f>B26-B28</f>
        <v/>
      </c>
      <c r="C29" s="13">
        <f>C26-C28</f>
        <v/>
      </c>
      <c r="D29" s="13">
        <f>D26-D28</f>
        <v/>
      </c>
      <c r="E29" s="13">
        <f>E26-E28</f>
        <v/>
      </c>
      <c r="F29" s="13">
        <f>F26-F28</f>
        <v/>
      </c>
      <c r="G29" s="13">
        <f>G26-G28</f>
        <v/>
      </c>
      <c r="H29" s="13">
        <f>H26-H28</f>
        <v/>
      </c>
      <c r="I29" s="13">
        <f>I26-I28</f>
        <v/>
      </c>
      <c r="J29" s="13">
        <f>J26-J28</f>
        <v/>
      </c>
    </row>
    <row r="30">
      <c r="A30" s="7" t="inlineStr">
        <is>
          <t xml:space="preserve">    Net margin %</t>
        </is>
      </c>
      <c r="B30" s="10">
        <f>IF(B7=0,"",B29/B7)</f>
        <v/>
      </c>
      <c r="C30" s="10">
        <f>IF(C7=0,"",C29/C7)</f>
        <v/>
      </c>
      <c r="D30" s="10">
        <f>IF(D7=0,"",D29/D7)</f>
        <v/>
      </c>
      <c r="E30" s="10">
        <f>IF(E7=0,"",E29/E7)</f>
        <v/>
      </c>
      <c r="F30" s="10">
        <f>IF(F7=0,"",F29/F7)</f>
        <v/>
      </c>
      <c r="G30" s="10">
        <f>IF(G7=0,"",G29/G7)</f>
        <v/>
      </c>
      <c r="H30" s="10">
        <f>IF(H7=0,"",H29/H7)</f>
        <v/>
      </c>
      <c r="I30" s="10">
        <f>IF(I7=0,"",I29/I7)</f>
        <v/>
      </c>
      <c r="J30" s="10">
        <f>IF(J7=0,"",J29/J7)</f>
        <v/>
      </c>
    </row>
    <row r="31">
      <c r="A31" s="5" t="inlineStr">
        <is>
          <t>PER SHARE (split-adjusted)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7" t="inlineStr">
        <is>
          <t xml:space="preserve">  Diluted shares (M)</t>
        </is>
      </c>
      <c r="B32" s="8" t="n">
        <v>25070</v>
      </c>
      <c r="C32" s="8" t="n">
        <v>24940</v>
      </c>
      <c r="D32" s="8" t="n">
        <v>24804</v>
      </c>
      <c r="E32" s="8" t="n">
        <v>24514</v>
      </c>
      <c r="F32" s="9">
        <f>E32*(1-0.012)</f>
        <v/>
      </c>
      <c r="G32" s="9">
        <f>F32*(1-0.012)</f>
        <v/>
      </c>
      <c r="H32" s="9">
        <f>G32*(1-0.012)</f>
        <v/>
      </c>
      <c r="I32" s="9">
        <f>H32*(1-0.012)</f>
        <v/>
      </c>
      <c r="J32" s="9">
        <f>I32*(1-0.012)</f>
        <v/>
      </c>
    </row>
    <row r="33">
      <c r="A33" s="12" t="inlineStr">
        <is>
          <t xml:space="preserve">  Diluted EPS</t>
        </is>
      </c>
      <c r="B33" s="15">
        <f>B29/B32</f>
        <v/>
      </c>
      <c r="C33" s="15">
        <f>C29/C32</f>
        <v/>
      </c>
      <c r="D33" s="15">
        <f>D29/D32</f>
        <v/>
      </c>
      <c r="E33" s="15">
        <f>E29/E32</f>
        <v/>
      </c>
      <c r="F33" s="15">
        <f>F29/F32</f>
        <v/>
      </c>
      <c r="G33" s="15">
        <f>G29/G32</f>
        <v/>
      </c>
      <c r="H33" s="15">
        <f>H29/H32</f>
        <v/>
      </c>
      <c r="I33" s="15">
        <f>I29/I32</f>
        <v/>
      </c>
      <c r="J33" s="15">
        <f>J29/J32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NVIDIA Corporation — Cash Flow Statement</t>
        </is>
      </c>
    </row>
    <row r="2">
      <c r="A2" s="2" t="inlineStr">
        <is>
          <t>ΔWC linked from Balance Sheet so cash ties out; FCF feeds DCF</t>
        </is>
      </c>
    </row>
    <row r="3">
      <c r="A3" s="2" t="inlineStr">
        <is>
          <t>US$M unless noted · FY ends late Jan · per-share split-adjusted (10:1 Jun-2024) · blue=input black=formula green=link</t>
        </is>
      </c>
    </row>
    <row r="5">
      <c r="A5" s="3" t="n"/>
      <c r="B5" s="4" t="inlineStr">
        <is>
          <t>FY2023</t>
        </is>
      </c>
      <c r="C5" s="4" t="inlineStr">
        <is>
          <t>FY2024</t>
        </is>
      </c>
      <c r="D5" s="4" t="inlineStr">
        <is>
          <t>FY2025</t>
        </is>
      </c>
      <c r="E5" s="4" t="inlineStr">
        <is>
          <t>FY2026</t>
        </is>
      </c>
      <c r="F5" s="4" t="inlineStr">
        <is>
          <t>FY2027E</t>
        </is>
      </c>
      <c r="G5" s="4" t="inlineStr">
        <is>
          <t>FY2028E</t>
        </is>
      </c>
      <c r="H5" s="4" t="inlineStr">
        <is>
          <t>FY2029E</t>
        </is>
      </c>
      <c r="I5" s="4" t="inlineStr">
        <is>
          <t>FY2030E</t>
        </is>
      </c>
      <c r="J5" s="4" t="inlineStr">
        <is>
          <t>FY2031E</t>
        </is>
      </c>
    </row>
    <row r="6">
      <c r="A6" s="5" t="inlineStr">
        <is>
          <t>OPERATING ACTIVITIES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 xml:space="preserve">  Net income</t>
        </is>
      </c>
      <c r="B7" s="16">
        <f>'Income Statement'!B29</f>
        <v/>
      </c>
      <c r="C7" s="16">
        <f>'Income Statement'!C29</f>
        <v/>
      </c>
      <c r="D7" s="16">
        <f>'Income Statement'!D29</f>
        <v/>
      </c>
      <c r="E7" s="16">
        <f>'Income Statement'!E29</f>
        <v/>
      </c>
      <c r="F7" s="16">
        <f>'Income Statement'!F29</f>
        <v/>
      </c>
      <c r="G7" s="16">
        <f>'Income Statement'!G29</f>
        <v/>
      </c>
      <c r="H7" s="16">
        <f>'Income Statement'!H29</f>
        <v/>
      </c>
      <c r="I7" s="16">
        <f>'Income Statement'!I29</f>
        <v/>
      </c>
      <c r="J7" s="16">
        <f>'Income Statement'!J29</f>
        <v/>
      </c>
    </row>
    <row r="8">
      <c r="A8" s="7" t="inlineStr">
        <is>
          <t xml:space="preserve">  Depreciation &amp; amortization</t>
        </is>
      </c>
      <c r="B8" s="16">
        <f>'Income Statement'!B21</f>
        <v/>
      </c>
      <c r="C8" s="16">
        <f>'Income Statement'!C21</f>
        <v/>
      </c>
      <c r="D8" s="16">
        <f>'Income Statement'!D21</f>
        <v/>
      </c>
      <c r="E8" s="16">
        <f>'Income Statement'!E21</f>
        <v/>
      </c>
      <c r="F8" s="16">
        <f>'Income Statement'!F21</f>
        <v/>
      </c>
      <c r="G8" s="16">
        <f>'Income Statement'!G21</f>
        <v/>
      </c>
      <c r="H8" s="16">
        <f>'Income Statement'!H21</f>
        <v/>
      </c>
      <c r="I8" s="16">
        <f>'Income Statement'!I21</f>
        <v/>
      </c>
      <c r="J8" s="16">
        <f>'Income Statement'!J21</f>
        <v/>
      </c>
    </row>
    <row r="9">
      <c r="A9" s="7" t="inlineStr">
        <is>
          <t xml:space="preserve">  Stock-based compensation</t>
        </is>
      </c>
      <c r="B9" s="8" t="n">
        <v>2709</v>
      </c>
      <c r="C9" s="8" t="n">
        <v>3549</v>
      </c>
      <c r="D9" s="8" t="n">
        <v>4737</v>
      </c>
      <c r="E9" s="8" t="n">
        <v>6386</v>
      </c>
      <c r="F9" s="16">
        <f>'Income Statement'!F7*0.04</f>
        <v/>
      </c>
      <c r="G9" s="16">
        <f>'Income Statement'!G7*0.04</f>
        <v/>
      </c>
      <c r="H9" s="16">
        <f>'Income Statement'!H7*0.04</f>
        <v/>
      </c>
      <c r="I9" s="16">
        <f>'Income Statement'!I7*0.04</f>
        <v/>
      </c>
      <c r="J9" s="16">
        <f>'Income Statement'!J7*0.04</f>
        <v/>
      </c>
    </row>
    <row r="10">
      <c r="A10" s="7" t="inlineStr">
        <is>
          <t xml:space="preserve">  Change in working capital</t>
        </is>
      </c>
      <c r="B10" s="8" t="n">
        <v>-1622</v>
      </c>
      <c r="C10" s="8" t="n">
        <v>-3743</v>
      </c>
      <c r="D10" s="8" t="n">
        <v>-10228</v>
      </c>
      <c r="E10" s="8" t="n">
        <v>-17348</v>
      </c>
      <c r="F10" s="16">
        <f>-(('Balance Sheet'!F8-'Balance Sheet'!E8)+('Balance Sheet'!F9-'Balance Sheet'!E9)+('Balance Sheet'!F10-'Balance Sheet'!E10))+(('Balance Sheet'!F17-'Balance Sheet'!E17)+('Balance Sheet'!F18-'Balance Sheet'!E18))</f>
        <v/>
      </c>
      <c r="G10" s="16">
        <f>-(('Balance Sheet'!G8-'Balance Sheet'!F8)+('Balance Sheet'!G9-'Balance Sheet'!F9)+('Balance Sheet'!G10-'Balance Sheet'!F10))+(('Balance Sheet'!G17-'Balance Sheet'!F17)+('Balance Sheet'!G18-'Balance Sheet'!F18))</f>
        <v/>
      </c>
      <c r="H10" s="16">
        <f>-(('Balance Sheet'!H8-'Balance Sheet'!G8)+('Balance Sheet'!H9-'Balance Sheet'!G9)+('Balance Sheet'!H10-'Balance Sheet'!G10))+(('Balance Sheet'!H17-'Balance Sheet'!G17)+('Balance Sheet'!H18-'Balance Sheet'!G18))</f>
        <v/>
      </c>
      <c r="I10" s="16">
        <f>-(('Balance Sheet'!I8-'Balance Sheet'!H8)+('Balance Sheet'!I9-'Balance Sheet'!H9)+('Balance Sheet'!I10-'Balance Sheet'!H10))+(('Balance Sheet'!I17-'Balance Sheet'!H17)+('Balance Sheet'!I18-'Balance Sheet'!H18))</f>
        <v/>
      </c>
      <c r="J10" s="16">
        <f>-(('Balance Sheet'!J8-'Balance Sheet'!I8)+('Balance Sheet'!J9-'Balance Sheet'!I9)+('Balance Sheet'!J10-'Balance Sheet'!I10))+(('Balance Sheet'!J17-'Balance Sheet'!I17)+('Balance Sheet'!J18-'Balance Sheet'!I18))</f>
        <v/>
      </c>
    </row>
    <row r="11">
      <c r="A11" s="7" t="inlineStr">
        <is>
          <t xml:space="preserve">  Deferred tax &amp; other non-cash</t>
        </is>
      </c>
      <c r="B11" s="8" t="n">
        <v>-1358</v>
      </c>
      <c r="C11" s="8" t="n">
        <v>-2984</v>
      </c>
      <c r="D11" s="8" t="n">
        <v>-5164</v>
      </c>
      <c r="E11" s="8" t="n">
        <v>-9230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</row>
    <row r="12">
      <c r="A12" s="12" t="inlineStr">
        <is>
          <t xml:space="preserve">  Cash from operations</t>
        </is>
      </c>
      <c r="B12" s="13">
        <f>B7+B8+B9+B10+B11</f>
        <v/>
      </c>
      <c r="C12" s="13">
        <f>C7+C8+C9+C10+C11</f>
        <v/>
      </c>
      <c r="D12" s="13">
        <f>D7+D8+D9+D10+D11</f>
        <v/>
      </c>
      <c r="E12" s="13">
        <f>E7+E8+E9+E10+E11</f>
        <v/>
      </c>
      <c r="F12" s="13">
        <f>F7+F8+F9+F10+F11</f>
        <v/>
      </c>
      <c r="G12" s="13">
        <f>G7+G8+G9+G10+G11</f>
        <v/>
      </c>
      <c r="H12" s="13">
        <f>H7+H8+H9+H10+H11</f>
        <v/>
      </c>
      <c r="I12" s="13">
        <f>I7+I8+I9+I10+I11</f>
        <v/>
      </c>
      <c r="J12" s="13">
        <f>J7+J8+J9+J10+J11</f>
        <v/>
      </c>
    </row>
    <row r="13">
      <c r="A13" s="5" t="inlineStr">
        <is>
          <t>INVESTING ACTIVITIES ($M)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inlineStr">
        <is>
          <t xml:space="preserve">  Capital expenditures</t>
        </is>
      </c>
      <c r="B14" s="8" t="n">
        <v>-1833</v>
      </c>
      <c r="C14" s="8" t="n">
        <v>-1069</v>
      </c>
      <c r="D14" s="8" t="n">
        <v>-3236</v>
      </c>
      <c r="E14" s="8" t="n">
        <v>-6042</v>
      </c>
      <c r="F14" s="16">
        <f>-'Income Statement'!F7*0.035</f>
        <v/>
      </c>
      <c r="G14" s="16">
        <f>-'Income Statement'!G7*0.035</f>
        <v/>
      </c>
      <c r="H14" s="16">
        <f>-'Income Statement'!H7*0.033</f>
        <v/>
      </c>
      <c r="I14" s="16">
        <f>-'Income Statement'!I7*0.03</f>
        <v/>
      </c>
      <c r="J14" s="16">
        <f>-'Income Statement'!J7*0.03</f>
        <v/>
      </c>
    </row>
    <row r="15">
      <c r="A15" s="12" t="inlineStr">
        <is>
          <t xml:space="preserve">  FREE CASH FLOW</t>
        </is>
      </c>
      <c r="B15" s="13">
        <f>B12+B14</f>
        <v/>
      </c>
      <c r="C15" s="13">
        <f>C12+C14</f>
        <v/>
      </c>
      <c r="D15" s="13">
        <f>D12+D14</f>
        <v/>
      </c>
      <c r="E15" s="13">
        <f>E12+E14</f>
        <v/>
      </c>
      <c r="F15" s="13">
        <f>F12+F14</f>
        <v/>
      </c>
      <c r="G15" s="13">
        <f>G12+G14</f>
        <v/>
      </c>
      <c r="H15" s="13">
        <f>H12+H14</f>
        <v/>
      </c>
      <c r="I15" s="13">
        <f>I12+I14</f>
        <v/>
      </c>
      <c r="J15" s="13">
        <f>J12+J14</f>
        <v/>
      </c>
    </row>
    <row r="16">
      <c r="A16" s="7" t="inlineStr">
        <is>
          <t xml:space="preserve">    FCF margin %</t>
        </is>
      </c>
      <c r="B16" s="17">
        <f>IF('Income Statement'!B7=0,"",B15/'Income Statement'!B7)</f>
        <v/>
      </c>
      <c r="C16" s="17">
        <f>IF('Income Statement'!C7=0,"",C15/'Income Statement'!C7)</f>
        <v/>
      </c>
      <c r="D16" s="17">
        <f>IF('Income Statement'!D7=0,"",D15/'Income Statement'!D7)</f>
        <v/>
      </c>
      <c r="E16" s="17">
        <f>IF('Income Statement'!E7=0,"",E15/'Income Statement'!E7)</f>
        <v/>
      </c>
      <c r="F16" s="17">
        <f>IF('Income Statement'!F7=0,"",F15/'Income Statement'!F7)</f>
        <v/>
      </c>
      <c r="G16" s="17">
        <f>IF('Income Statement'!G7=0,"",G15/'Income Statement'!G7)</f>
        <v/>
      </c>
      <c r="H16" s="17">
        <f>IF('Income Statement'!H7=0,"",H15/'Income Statement'!H7)</f>
        <v/>
      </c>
      <c r="I16" s="17">
        <f>IF('Income Statement'!I7=0,"",I15/'Income Statement'!I7)</f>
        <v/>
      </c>
      <c r="J16" s="17">
        <f>IF('Income Statement'!J7=0,"",J15/'Income Statement'!J7)</f>
        <v/>
      </c>
    </row>
    <row r="17">
      <c r="A17" s="5" t="inlineStr">
        <is>
          <t>FINANCING ACTIVITIES ($M) — historical only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7" t="inlineStr">
        <is>
          <t xml:space="preserve">  Dividends paid</t>
        </is>
      </c>
      <c r="B18" s="8" t="n">
        <v>-398</v>
      </c>
      <c r="C18" s="8" t="n">
        <v>-395</v>
      </c>
      <c r="D18" s="8" t="n">
        <v>-834</v>
      </c>
      <c r="E18" s="8" t="n">
        <v>-974</v>
      </c>
    </row>
    <row r="19">
      <c r="A19" s="7" t="inlineStr">
        <is>
          <t xml:space="preserve">  Share repurchases</t>
        </is>
      </c>
      <c r="B19" s="8" t="n">
        <v>-10039</v>
      </c>
      <c r="C19" s="8" t="n">
        <v>-9533</v>
      </c>
      <c r="D19" s="8" t="n">
        <v>-33706</v>
      </c>
      <c r="E19" s="8" t="n">
        <v>-40086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NVIDIA Corporation — Balance Sheet</t>
        </is>
      </c>
    </row>
    <row r="2">
      <c r="A2" s="2" t="inlineStr">
        <is>
          <t>Actuals (blue); projections roll WC off revenue, PP&amp;E off CapEx−D&amp;A, equity off net income</t>
        </is>
      </c>
    </row>
    <row r="3">
      <c r="A3" s="2" t="inlineStr">
        <is>
          <t>US$M unless noted · FY ends late Jan · per-share split-adjusted (10:1 Jun-2024) · blue=input black=formula green=link</t>
        </is>
      </c>
    </row>
    <row r="5">
      <c r="A5" s="3" t="n"/>
      <c r="B5" s="4" t="inlineStr">
        <is>
          <t>FY2023</t>
        </is>
      </c>
      <c r="C5" s="4" t="inlineStr">
        <is>
          <t>FY2024</t>
        </is>
      </c>
      <c r="D5" s="4" t="inlineStr">
        <is>
          <t>FY2025</t>
        </is>
      </c>
      <c r="E5" s="4" t="inlineStr">
        <is>
          <t>FY2026</t>
        </is>
      </c>
      <c r="F5" s="4" t="inlineStr">
        <is>
          <t>FY2027E</t>
        </is>
      </c>
      <c r="G5" s="4" t="inlineStr">
        <is>
          <t>FY2028E</t>
        </is>
      </c>
      <c r="H5" s="4" t="inlineStr">
        <is>
          <t>FY2029E</t>
        </is>
      </c>
      <c r="I5" s="4" t="inlineStr">
        <is>
          <t>FY2030E</t>
        </is>
      </c>
      <c r="J5" s="4" t="inlineStr">
        <is>
          <t>FY2031E</t>
        </is>
      </c>
    </row>
    <row r="6">
      <c r="A6" s="5" t="inlineStr">
        <is>
          <t>ASSETS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 xml:space="preserve">  Cash &amp; investments</t>
        </is>
      </c>
      <c r="B7" s="8" t="n">
        <v>13296</v>
      </c>
      <c r="C7" s="8" t="n">
        <v>25984</v>
      </c>
      <c r="D7" s="8" t="n">
        <v>43210</v>
      </c>
      <c r="E7" s="8" t="n">
        <v>62556</v>
      </c>
      <c r="F7" s="18">
        <f>E7+'Cash Flow'!F12+'Cash Flow'!F14</f>
        <v/>
      </c>
      <c r="G7" s="18">
        <f>F7+'Cash Flow'!G12+'Cash Flow'!G14</f>
        <v/>
      </c>
      <c r="H7" s="18">
        <f>G7+'Cash Flow'!H12+'Cash Flow'!H14</f>
        <v/>
      </c>
      <c r="I7" s="18">
        <f>H7+'Cash Flow'!I12+'Cash Flow'!I14</f>
        <v/>
      </c>
      <c r="J7" s="18">
        <f>I7+'Cash Flow'!J12+'Cash Flow'!J14</f>
        <v/>
      </c>
    </row>
    <row r="8">
      <c r="A8" s="7" t="inlineStr">
        <is>
          <t xml:space="preserve">  Accounts receivable</t>
        </is>
      </c>
      <c r="B8" s="8" t="n">
        <v>3827</v>
      </c>
      <c r="C8" s="8" t="n">
        <v>9999</v>
      </c>
      <c r="D8" s="8" t="n">
        <v>23065</v>
      </c>
      <c r="E8" s="8" t="n">
        <v>38466</v>
      </c>
      <c r="F8" s="16">
        <f>'Income Statement'!F7*0.1781</f>
        <v/>
      </c>
      <c r="G8" s="16">
        <f>'Income Statement'!G7*0.1781</f>
        <v/>
      </c>
      <c r="H8" s="16">
        <f>'Income Statement'!H7*0.1781</f>
        <v/>
      </c>
      <c r="I8" s="16">
        <f>'Income Statement'!I7*0.1781</f>
        <v/>
      </c>
      <c r="J8" s="16">
        <f>'Income Statement'!J7*0.1781</f>
        <v/>
      </c>
    </row>
    <row r="9">
      <c r="A9" s="7" t="inlineStr">
        <is>
          <t xml:space="preserve">  Inventory</t>
        </is>
      </c>
      <c r="B9" s="8" t="n">
        <v>5159</v>
      </c>
      <c r="C9" s="8" t="n">
        <v>5282</v>
      </c>
      <c r="D9" s="8" t="n">
        <v>10080</v>
      </c>
      <c r="E9" s="8" t="n">
        <v>21403</v>
      </c>
      <c r="F9" s="16">
        <f>'Income Statement'!F7*0.0991</f>
        <v/>
      </c>
      <c r="G9" s="16">
        <f>'Income Statement'!G7*0.0991</f>
        <v/>
      </c>
      <c r="H9" s="16">
        <f>'Income Statement'!H7*0.0991</f>
        <v/>
      </c>
      <c r="I9" s="16">
        <f>'Income Statement'!I7*0.0991</f>
        <v/>
      </c>
      <c r="J9" s="16">
        <f>'Income Statement'!J7*0.0991</f>
        <v/>
      </c>
    </row>
    <row r="10">
      <c r="A10" s="7" t="inlineStr">
        <is>
          <t xml:space="preserve">  Other current assets</t>
        </is>
      </c>
      <c r="B10" s="8" t="n">
        <v>791</v>
      </c>
      <c r="C10" s="8" t="n">
        <v>3080</v>
      </c>
      <c r="D10" s="8" t="n">
        <v>3771</v>
      </c>
      <c r="E10" s="8" t="n">
        <v>3180</v>
      </c>
      <c r="F10" s="16">
        <f>'Income Statement'!F7*0.0147</f>
        <v/>
      </c>
      <c r="G10" s="16">
        <f>'Income Statement'!G7*0.0147</f>
        <v/>
      </c>
      <c r="H10" s="16">
        <f>'Income Statement'!H7*0.0147</f>
        <v/>
      </c>
      <c r="I10" s="16">
        <f>'Income Statement'!I7*0.0147</f>
        <v/>
      </c>
      <c r="J10" s="16">
        <f>'Income Statement'!J7*0.0147</f>
        <v/>
      </c>
    </row>
    <row r="11">
      <c r="A11" s="12" t="inlineStr">
        <is>
          <t xml:space="preserve">  Total current assets</t>
        </is>
      </c>
      <c r="B11" s="13">
        <f>SUM(B7:B10)</f>
        <v/>
      </c>
      <c r="C11" s="13">
        <f>SUM(C7:C10)</f>
        <v/>
      </c>
      <c r="D11" s="13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</row>
    <row r="12">
      <c r="A12" s="7" t="inlineStr">
        <is>
          <t xml:space="preserve">  PP&amp;E, net</t>
        </is>
      </c>
      <c r="B12" s="8" t="n">
        <v>4845</v>
      </c>
      <c r="C12" s="8" t="n">
        <v>5260</v>
      </c>
      <c r="D12" s="8" t="n">
        <v>8076</v>
      </c>
      <c r="E12" s="8" t="n">
        <v>13250</v>
      </c>
      <c r="F12" s="16">
        <f>E12+'Income Statement'!F7*0.035-'Income Statement'!F21</f>
        <v/>
      </c>
      <c r="G12" s="16">
        <f>F12+'Income Statement'!G7*0.035-'Income Statement'!G21</f>
        <v/>
      </c>
      <c r="H12" s="16">
        <f>G12+'Income Statement'!H7*0.033-'Income Statement'!H21</f>
        <v/>
      </c>
      <c r="I12" s="16">
        <f>H12+'Income Statement'!I7*0.03-'Income Statement'!I21</f>
        <v/>
      </c>
      <c r="J12" s="16">
        <f>I12+'Income Statement'!J7*0.03-'Income Statement'!J21</f>
        <v/>
      </c>
    </row>
    <row r="13">
      <c r="A13" s="7" t="inlineStr">
        <is>
          <t xml:space="preserve">  Goodwill &amp; intangibles</t>
        </is>
      </c>
      <c r="B13" s="8" t="n">
        <v>6048</v>
      </c>
      <c r="C13" s="8" t="n">
        <v>5542</v>
      </c>
      <c r="D13" s="8" t="n">
        <v>5995</v>
      </c>
      <c r="E13" s="8" t="n">
        <v>24138</v>
      </c>
      <c r="F13" s="8" t="n">
        <v>24138</v>
      </c>
      <c r="G13" s="8" t="n">
        <v>24138</v>
      </c>
      <c r="H13" s="8" t="n">
        <v>24138</v>
      </c>
      <c r="I13" s="8" t="n">
        <v>24138</v>
      </c>
      <c r="J13" s="8" t="n">
        <v>24138</v>
      </c>
    </row>
    <row r="14">
      <c r="A14" s="7" t="inlineStr">
        <is>
          <t xml:space="preserve">  Other non-current assets</t>
        </is>
      </c>
      <c r="B14" s="8" t="n">
        <v>7216</v>
      </c>
      <c r="C14" s="8" t="n">
        <v>10581</v>
      </c>
      <c r="D14" s="8" t="n">
        <v>17404</v>
      </c>
      <c r="E14" s="8" t="n">
        <v>43810</v>
      </c>
      <c r="F14" s="8" t="n">
        <v>43810</v>
      </c>
      <c r="G14" s="8" t="n">
        <v>43810</v>
      </c>
      <c r="H14" s="8" t="n">
        <v>43810</v>
      </c>
      <c r="I14" s="8" t="n">
        <v>43810</v>
      </c>
      <c r="J14" s="8" t="n">
        <v>43810</v>
      </c>
    </row>
    <row r="15">
      <c r="A15" s="12" t="inlineStr">
        <is>
          <t xml:space="preserve">  TOTAL ASSETS</t>
        </is>
      </c>
      <c r="B15" s="13">
        <f>B11+B12+B13+B14</f>
        <v/>
      </c>
      <c r="C15" s="13">
        <f>C11+C12+C13+C14</f>
        <v/>
      </c>
      <c r="D15" s="13">
        <f>D11+D12+D13+D14</f>
        <v/>
      </c>
      <c r="E15" s="13">
        <f>E11+E12+E13+E14</f>
        <v/>
      </c>
      <c r="F15" s="13">
        <f>F11+F12+F13+F14</f>
        <v/>
      </c>
      <c r="G15" s="13">
        <f>G11+G12+G13+G14</f>
        <v/>
      </c>
      <c r="H15" s="13">
        <f>H11+H12+H13+H14</f>
        <v/>
      </c>
      <c r="I15" s="13">
        <f>I11+I12+I13+I14</f>
        <v/>
      </c>
      <c r="J15" s="13">
        <f>J11+J12+J13+J14</f>
        <v/>
      </c>
    </row>
    <row r="16">
      <c r="A16" s="5" t="inlineStr">
        <is>
          <t>LIABILITIES &amp; EQUITY ($M)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7" t="inlineStr">
        <is>
          <t xml:space="preserve">  Accounts payable</t>
        </is>
      </c>
      <c r="B17" s="8" t="n">
        <v>1193</v>
      </c>
      <c r="C17" s="8" t="n">
        <v>2699</v>
      </c>
      <c r="D17" s="8" t="n">
        <v>6310</v>
      </c>
      <c r="E17" s="8" t="n">
        <v>9812</v>
      </c>
      <c r="F17" s="16">
        <f>'Income Statement'!F7*0.0454</f>
        <v/>
      </c>
      <c r="G17" s="16">
        <f>'Income Statement'!G7*0.0454</f>
        <v/>
      </c>
      <c r="H17" s="16">
        <f>'Income Statement'!H7*0.0454</f>
        <v/>
      </c>
      <c r="I17" s="16">
        <f>'Income Statement'!I7*0.0454</f>
        <v/>
      </c>
      <c r="J17" s="16">
        <f>'Income Statement'!J7*0.0454</f>
        <v/>
      </c>
    </row>
    <row r="18">
      <c r="A18" s="7" t="inlineStr">
        <is>
          <t xml:space="preserve">  Accrued &amp; other current</t>
        </is>
      </c>
      <c r="B18" s="8" t="n">
        <v>4120</v>
      </c>
      <c r="C18" s="8" t="n">
        <v>6682</v>
      </c>
      <c r="D18" s="8" t="n">
        <v>11737</v>
      </c>
      <c r="E18" s="8" t="n">
        <v>21352</v>
      </c>
      <c r="F18" s="16">
        <f>'Income Statement'!F7*0.0989</f>
        <v/>
      </c>
      <c r="G18" s="16">
        <f>'Income Statement'!G7*0.0989</f>
        <v/>
      </c>
      <c r="H18" s="16">
        <f>'Income Statement'!H7*0.0989</f>
        <v/>
      </c>
      <c r="I18" s="16">
        <f>'Income Statement'!I7*0.0989</f>
        <v/>
      </c>
      <c r="J18" s="16">
        <f>'Income Statement'!J7*0.0989</f>
        <v/>
      </c>
    </row>
    <row r="19">
      <c r="A19" s="7" t="inlineStr">
        <is>
          <t xml:space="preserve">  Short-term debt</t>
        </is>
      </c>
      <c r="B19" s="8" t="n">
        <v>1250</v>
      </c>
      <c r="C19" s="8" t="n">
        <v>1250</v>
      </c>
      <c r="D19" s="8" t="n">
        <v>0</v>
      </c>
      <c r="E19" s="8" t="n">
        <v>999</v>
      </c>
      <c r="F19" s="8" t="n">
        <v>999</v>
      </c>
      <c r="G19" s="8" t="n">
        <v>999</v>
      </c>
      <c r="H19" s="8" t="n">
        <v>999</v>
      </c>
      <c r="I19" s="8" t="n">
        <v>999</v>
      </c>
      <c r="J19" s="8" t="n">
        <v>999</v>
      </c>
    </row>
    <row r="20">
      <c r="A20" s="12" t="inlineStr">
        <is>
          <t xml:space="preserve">  Total current liabilities</t>
        </is>
      </c>
      <c r="B20" s="13">
        <f>B17+B18+B19</f>
        <v/>
      </c>
      <c r="C20" s="13">
        <f>C17+C18+C19</f>
        <v/>
      </c>
      <c r="D20" s="13">
        <f>D17+D18+D19</f>
        <v/>
      </c>
      <c r="E20" s="13">
        <f>E17+E18+E19</f>
        <v/>
      </c>
      <c r="F20" s="13">
        <f>F17+F18+F19</f>
        <v/>
      </c>
      <c r="G20" s="13">
        <f>G17+G18+G19</f>
        <v/>
      </c>
      <c r="H20" s="13">
        <f>H17+H18+H19</f>
        <v/>
      </c>
      <c r="I20" s="13">
        <f>I17+I18+I19</f>
        <v/>
      </c>
      <c r="J20" s="13">
        <f>J17+J18+J19</f>
        <v/>
      </c>
    </row>
    <row r="21">
      <c r="A21" s="7" t="inlineStr">
        <is>
          <t xml:space="preserve">  Long-term debt</t>
        </is>
      </c>
      <c r="B21" s="8" t="n">
        <v>9703</v>
      </c>
      <c r="C21" s="8" t="n">
        <v>8459</v>
      </c>
      <c r="D21" s="8" t="n">
        <v>8463</v>
      </c>
      <c r="E21" s="8" t="n">
        <v>7469</v>
      </c>
      <c r="F21" s="8" t="n">
        <v>7469</v>
      </c>
      <c r="G21" s="8" t="n">
        <v>7469</v>
      </c>
      <c r="H21" s="8" t="n">
        <v>7469</v>
      </c>
      <c r="I21" s="8" t="n">
        <v>7469</v>
      </c>
      <c r="J21" s="8" t="n">
        <v>7469</v>
      </c>
    </row>
    <row r="22">
      <c r="A22" s="7" t="inlineStr">
        <is>
          <t xml:space="preserve">  Other non-current liabilities</t>
        </is>
      </c>
      <c r="B22" s="8" t="n">
        <v>2815</v>
      </c>
      <c r="C22" s="8" t="n">
        <v>3660</v>
      </c>
      <c r="D22" s="8" t="n">
        <v>5764</v>
      </c>
      <c r="E22" s="8" t="n">
        <v>9878</v>
      </c>
      <c r="F22" s="8" t="n">
        <v>9878</v>
      </c>
      <c r="G22" s="8" t="n">
        <v>9878</v>
      </c>
      <c r="H22" s="8" t="n">
        <v>9878</v>
      </c>
      <c r="I22" s="8" t="n">
        <v>9878</v>
      </c>
      <c r="J22" s="8" t="n">
        <v>9878</v>
      </c>
    </row>
    <row r="23">
      <c r="A23" s="12" t="inlineStr">
        <is>
          <t xml:space="preserve">  TOTAL LIABILITIES</t>
        </is>
      </c>
      <c r="B23" s="13">
        <f>B20+B21+B22</f>
        <v/>
      </c>
      <c r="C23" s="13">
        <f>C20+C21+C22</f>
        <v/>
      </c>
      <c r="D23" s="13">
        <f>D20+D21+D22</f>
        <v/>
      </c>
      <c r="E23" s="13">
        <f>E20+E21+E22</f>
        <v/>
      </c>
      <c r="F23" s="13">
        <f>F20+F21+F22</f>
        <v/>
      </c>
      <c r="G23" s="13">
        <f>G20+G21+G22</f>
        <v/>
      </c>
      <c r="H23" s="13">
        <f>H20+H21+H22</f>
        <v/>
      </c>
      <c r="I23" s="13">
        <f>I20+I21+I22</f>
        <v/>
      </c>
      <c r="J23" s="13">
        <f>J20+J21+J22</f>
        <v/>
      </c>
    </row>
    <row r="24">
      <c r="A24" s="12" t="inlineStr">
        <is>
          <t xml:space="preserve">  TOTAL EQUITY</t>
        </is>
      </c>
      <c r="B24" s="19" t="n">
        <v>22101</v>
      </c>
      <c r="C24" s="19" t="n">
        <v>42978</v>
      </c>
      <c r="D24" s="19" t="n">
        <v>79327</v>
      </c>
      <c r="E24" s="19" t="n">
        <v>157293</v>
      </c>
      <c r="F24" s="20">
        <f>E24+'Income Statement'!F29+'Income Statement'!F7*0.04</f>
        <v/>
      </c>
      <c r="G24" s="20">
        <f>F24+'Income Statement'!G29+'Income Statement'!G7*0.04</f>
        <v/>
      </c>
      <c r="H24" s="20">
        <f>G24+'Income Statement'!H29+'Income Statement'!H7*0.04</f>
        <v/>
      </c>
      <c r="I24" s="20">
        <f>H24+'Income Statement'!I29+'Income Statement'!I7*0.04</f>
        <v/>
      </c>
      <c r="J24" s="20">
        <f>I24+'Income Statement'!J29+'Income Statement'!J7*0.04</f>
        <v/>
      </c>
    </row>
    <row r="25">
      <c r="A25" s="12" t="inlineStr">
        <is>
          <t xml:space="preserve">  TOTAL LIAB + EQUITY</t>
        </is>
      </c>
      <c r="B25" s="13">
        <f>B23+B24</f>
        <v/>
      </c>
      <c r="C25" s="13">
        <f>C23+C24</f>
        <v/>
      </c>
      <c r="D25" s="13">
        <f>D23+D24</f>
        <v/>
      </c>
      <c r="E25" s="13">
        <f>E23+E24</f>
        <v/>
      </c>
      <c r="F25" s="13">
        <f>F23+F24</f>
        <v/>
      </c>
      <c r="G25" s="13">
        <f>G23+G24</f>
        <v/>
      </c>
      <c r="H25" s="13">
        <f>H23+H24</f>
        <v/>
      </c>
      <c r="I25" s="13">
        <f>I23+I24</f>
        <v/>
      </c>
      <c r="J25" s="13">
        <f>J23+J24</f>
        <v/>
      </c>
    </row>
    <row r="26">
      <c r="A26" s="7" t="inlineStr">
        <is>
          <t xml:space="preserve">  Balance check (A−L−E)</t>
        </is>
      </c>
      <c r="B26" s="9">
        <f>B15-B25</f>
        <v/>
      </c>
      <c r="C26" s="9">
        <f>C15-C25</f>
        <v/>
      </c>
      <c r="D26" s="9">
        <f>D15-D25</f>
        <v/>
      </c>
      <c r="E26" s="9">
        <f>E15-E25</f>
        <v/>
      </c>
      <c r="F26" s="9">
        <f>F15-F25</f>
        <v/>
      </c>
      <c r="G26" s="9">
        <f>G15-G25</f>
        <v/>
      </c>
      <c r="H26" s="9">
        <f>H15-H25</f>
        <v/>
      </c>
      <c r="I26" s="9">
        <f>I15-I25</f>
        <v/>
      </c>
      <c r="J26" s="9">
        <f>J15-J25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NVIDIA Corporation — Scenario Analysis</t>
        </is>
      </c>
    </row>
    <row r="2">
      <c r="A2" s="2" t="inlineStr">
        <is>
          <t>Five-year outlook to FY2031E. Base = live model links; Bull/Bear = blue sensitivity inputs</t>
        </is>
      </c>
    </row>
    <row r="4">
      <c r="A4" s="3" t="n"/>
      <c r="B4" s="4" t="inlineStr">
        <is>
          <t>Bull</t>
        </is>
      </c>
      <c r="C4" s="4" t="inlineStr">
        <is>
          <t>Base</t>
        </is>
      </c>
      <c r="D4" s="4" t="inlineStr">
        <is>
          <t>Bear</t>
        </is>
      </c>
    </row>
    <row r="5">
      <c r="A5" s="5" t="inlineStr">
        <is>
          <t>ASSUMPTIONS</t>
        </is>
      </c>
      <c r="B5" s="6" t="n"/>
      <c r="C5" s="6" t="n"/>
      <c r="D5" s="6" t="n"/>
    </row>
    <row r="6">
      <c r="A6" s="21" t="inlineStr">
        <is>
          <t xml:space="preserve">    5-yr revenue CAGR (FY26→31)</t>
        </is>
      </c>
      <c r="B6" s="11" t="n">
        <v>0.32</v>
      </c>
      <c r="C6" s="17">
        <f>('Revenue Model'!J17/'Revenue Model'!E17)^(1/5)-1</f>
        <v/>
      </c>
      <c r="D6" s="11" t="n">
        <v>0.16</v>
      </c>
    </row>
    <row r="7">
      <c r="A7" s="21" t="inlineStr">
        <is>
          <t xml:space="preserve">    FY2031E EBITDA margin</t>
        </is>
      </c>
      <c r="B7" s="11" t="n">
        <v>0.6</v>
      </c>
      <c r="C7" s="17">
        <f>'Income Statement'!J22/'Income Statement'!J7</f>
        <v/>
      </c>
      <c r="D7" s="11" t="n">
        <v>0.52</v>
      </c>
    </row>
    <row r="8">
      <c r="A8" s="21" t="inlineStr">
        <is>
          <t xml:space="preserve">    FY2031E net margin</t>
        </is>
      </c>
      <c r="B8" s="11" t="n">
        <v>0.5</v>
      </c>
      <c r="C8" s="17">
        <f>'Income Statement'!J29/'Income Statement'!J7</f>
        <v/>
      </c>
      <c r="D8" s="11" t="n">
        <v>0.4</v>
      </c>
    </row>
    <row r="9">
      <c r="A9" s="21" t="inlineStr">
        <is>
          <t xml:space="preserve">    FY2031E FCF margin</t>
        </is>
      </c>
      <c r="B9" s="11" t="n">
        <v>0.52</v>
      </c>
      <c r="C9" s="17">
        <f>'Cash Flow'!J15/'Income Statement'!J7</f>
        <v/>
      </c>
      <c r="D9" s="11" t="n">
        <v>0.42</v>
      </c>
    </row>
    <row r="11">
      <c r="A11" s="5" t="inlineStr">
        <is>
          <t>REVENUE PATH ($M)</t>
        </is>
      </c>
      <c r="B11" s="6" t="n"/>
      <c r="C11" s="6" t="n"/>
      <c r="D11" s="6" t="n"/>
    </row>
    <row r="12">
      <c r="A12" s="21" t="inlineStr">
        <is>
          <t xml:space="preserve">    FY2026 revenue (base)</t>
        </is>
      </c>
      <c r="B12" s="16">
        <f>'Revenue Model'!E17</f>
        <v/>
      </c>
      <c r="C12" s="16">
        <f>'Revenue Model'!E17</f>
        <v/>
      </c>
      <c r="D12" s="16">
        <f>'Revenue Model'!E17</f>
        <v/>
      </c>
    </row>
    <row r="13">
      <c r="A13" s="21" t="inlineStr">
        <is>
          <t xml:space="preserve">    FY2027E revenue</t>
        </is>
      </c>
      <c r="B13" s="9">
        <f>B12*(1+B6)</f>
        <v/>
      </c>
      <c r="C13" s="16">
        <f>'Revenue Model'!F17</f>
        <v/>
      </c>
      <c r="D13" s="9">
        <f>D12*(1+D6)</f>
        <v/>
      </c>
    </row>
    <row r="14">
      <c r="A14" s="21" t="inlineStr">
        <is>
          <t xml:space="preserve">    FY2028E revenue</t>
        </is>
      </c>
      <c r="B14" s="9">
        <f>B13*(1+B6)</f>
        <v/>
      </c>
      <c r="C14" s="16">
        <f>'Revenue Model'!G17</f>
        <v/>
      </c>
      <c r="D14" s="9">
        <f>D13*(1+D6)</f>
        <v/>
      </c>
    </row>
    <row r="15">
      <c r="A15" s="21" t="inlineStr">
        <is>
          <t xml:space="preserve">    FY2029E revenue</t>
        </is>
      </c>
      <c r="B15" s="9">
        <f>B14*(1+B6)</f>
        <v/>
      </c>
      <c r="C15" s="16">
        <f>'Revenue Model'!H17</f>
        <v/>
      </c>
      <c r="D15" s="9">
        <f>D14*(1+D6)</f>
        <v/>
      </c>
    </row>
    <row r="16">
      <c r="A16" s="21" t="inlineStr">
        <is>
          <t xml:space="preserve">    FY2030E revenue</t>
        </is>
      </c>
      <c r="B16" s="9">
        <f>B15*(1+B6)</f>
        <v/>
      </c>
      <c r="C16" s="16">
        <f>'Revenue Model'!I17</f>
        <v/>
      </c>
      <c r="D16" s="9">
        <f>D15*(1+D6)</f>
        <v/>
      </c>
    </row>
    <row r="17">
      <c r="A17" s="21" t="inlineStr">
        <is>
          <t xml:space="preserve">    FY2031E revenue</t>
        </is>
      </c>
      <c r="B17" s="9">
        <f>B16*(1+B6)</f>
        <v/>
      </c>
      <c r="C17" s="16">
        <f>'Revenue Model'!J17</f>
        <v/>
      </c>
      <c r="D17" s="9">
        <f>D16*(1+D6)</f>
        <v/>
      </c>
    </row>
    <row r="19">
      <c r="A19" s="5" t="inlineStr">
        <is>
          <t>FY2031E OUTPUTS</t>
        </is>
      </c>
      <c r="B19" s="6" t="n"/>
      <c r="C19" s="6" t="n"/>
      <c r="D19" s="6" t="n"/>
    </row>
    <row r="20">
      <c r="A20" s="22" t="inlineStr">
        <is>
          <t xml:space="preserve">  Revenue</t>
        </is>
      </c>
      <c r="B20" s="13">
        <f>B17</f>
        <v/>
      </c>
      <c r="C20" s="13">
        <f>C17</f>
        <v/>
      </c>
      <c r="D20" s="13">
        <f>D17</f>
        <v/>
      </c>
    </row>
    <row r="21">
      <c r="A21" s="21" t="inlineStr">
        <is>
          <t xml:space="preserve">  EBITDA</t>
        </is>
      </c>
      <c r="B21" s="9">
        <f>B17*B7</f>
        <v/>
      </c>
      <c r="C21" s="16">
        <f>'Income Statement'!J22</f>
        <v/>
      </c>
      <c r="D21" s="9">
        <f>D17*D7</f>
        <v/>
      </c>
    </row>
    <row r="22">
      <c r="A22" s="21" t="inlineStr">
        <is>
          <t xml:space="preserve">  Net income</t>
        </is>
      </c>
      <c r="B22" s="9">
        <f>B17*B8</f>
        <v/>
      </c>
      <c r="C22" s="16">
        <f>'Income Statement'!J29</f>
        <v/>
      </c>
      <c r="D22" s="9">
        <f>D17*D8</f>
        <v/>
      </c>
    </row>
    <row r="23">
      <c r="A23" s="22" t="inlineStr">
        <is>
          <t xml:space="preserve">  Diluted EPS</t>
        </is>
      </c>
      <c r="B23" s="23">
        <f>B22/'Income Statement'!J32</f>
        <v/>
      </c>
      <c r="C23" s="23">
        <f>'Income Statement'!J33</f>
        <v/>
      </c>
      <c r="D23" s="23">
        <f>D22/'Income Statement'!J32</f>
        <v/>
      </c>
    </row>
    <row r="24">
      <c r="A24" s="21" t="inlineStr">
        <is>
          <t xml:space="preserve">  Free cash flow</t>
        </is>
      </c>
      <c r="B24" s="9">
        <f>B17*B9</f>
        <v/>
      </c>
      <c r="C24" s="16">
        <f>'Cash Flow'!J15</f>
        <v/>
      </c>
      <c r="D24" s="9">
        <f>D17*D9</f>
        <v/>
      </c>
    </row>
    <row r="25">
      <c r="A25" s="22" t="inlineStr">
        <is>
          <t xml:space="preserve">  Cumulative FCF FY27-31</t>
        </is>
      </c>
      <c r="B25" s="13">
        <f>(B13+B14+B15+B16+B17)*B9</f>
        <v/>
      </c>
      <c r="C25" s="14">
        <f>SUM('Cash Flow'!F15:'Cash Flow'!J15)</f>
        <v/>
      </c>
      <c r="D25" s="13">
        <f>(D13+D14+D15+D16+D17)*D9</f>
        <v/>
      </c>
    </row>
    <row r="27">
      <c r="A27" s="2" t="inlineStr">
        <is>
          <t>Bull: AI capex durable, share held, GM ~72-74%.  Base: guided deceleration, GM ~72%.  Bear: capex digestion + ASIC share loss, GM slips to ~68-70%.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NVIDIA Corporation — DCF Inputs</t>
        </is>
      </c>
    </row>
    <row r="2">
      <c r="A2" s="2" t="inlineStr">
        <is>
          <t>Unlevered FCF = NOPAT + D&amp;A − CapEx + ΔWC; WACC block are blue inputs for Task 3</t>
        </is>
      </c>
    </row>
    <row r="3">
      <c r="A3" s="2" t="inlineStr">
        <is>
          <t>US$M unless noted · FY ends late Jan · per-share split-adjusted (10:1 Jun-2024) · blue=input black=formula green=link</t>
        </is>
      </c>
    </row>
    <row r="4"/>
    <row r="5">
      <c r="A5" s="3" t="n"/>
      <c r="B5" s="4" t="inlineStr">
        <is>
          <t>FY2023</t>
        </is>
      </c>
      <c r="C5" s="4" t="inlineStr">
        <is>
          <t>FY2024</t>
        </is>
      </c>
      <c r="D5" s="4" t="inlineStr">
        <is>
          <t>FY2025</t>
        </is>
      </c>
      <c r="E5" s="4" t="inlineStr">
        <is>
          <t>FY2026</t>
        </is>
      </c>
      <c r="F5" s="4" t="inlineStr">
        <is>
          <t>FY2027E</t>
        </is>
      </c>
      <c r="G5" s="4" t="inlineStr">
        <is>
          <t>FY2028E</t>
        </is>
      </c>
      <c r="H5" s="4" t="inlineStr">
        <is>
          <t>FY2029E</t>
        </is>
      </c>
      <c r="I5" s="4" t="inlineStr">
        <is>
          <t>FY2030E</t>
        </is>
      </c>
      <c r="J5" s="4" t="inlineStr">
        <is>
          <t>FY2031E</t>
        </is>
      </c>
    </row>
    <row r="6">
      <c r="A6" s="5" t="inlineStr">
        <is>
          <t>UNLEVERED FREE CASH FLOW ($M)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inlineStr">
        <is>
          <t xml:space="preserve">  EBIT</t>
        </is>
      </c>
      <c r="B7" s="16">
        <f>'Income Statement'!B19</f>
        <v/>
      </c>
      <c r="C7" s="16">
        <f>'Income Statement'!C19</f>
        <v/>
      </c>
      <c r="D7" s="16">
        <f>'Income Statement'!D19</f>
        <v/>
      </c>
      <c r="E7" s="16">
        <f>'Income Statement'!E19</f>
        <v/>
      </c>
      <c r="F7" s="16">
        <f>'Income Statement'!F19</f>
        <v/>
      </c>
      <c r="G7" s="16">
        <f>'Income Statement'!G19</f>
        <v/>
      </c>
      <c r="H7" s="16">
        <f>'Income Statement'!H19</f>
        <v/>
      </c>
      <c r="I7" s="16">
        <f>'Income Statement'!I19</f>
        <v/>
      </c>
      <c r="J7" s="16">
        <f>'Income Statement'!J19</f>
        <v/>
      </c>
    </row>
    <row r="8">
      <c r="A8" s="7" t="inlineStr">
        <is>
          <t xml:space="preserve">  Tax rate %</t>
        </is>
      </c>
      <c r="B8" s="17">
        <f>'Income Statement'!B27</f>
        <v/>
      </c>
      <c r="C8" s="17">
        <f>'Income Statement'!C27</f>
        <v/>
      </c>
      <c r="D8" s="17">
        <f>'Income Statement'!D27</f>
        <v/>
      </c>
      <c r="E8" s="17">
        <f>'Income Statement'!E27</f>
        <v/>
      </c>
      <c r="F8" s="17">
        <f>'Income Statement'!F27</f>
        <v/>
      </c>
      <c r="G8" s="17">
        <f>'Income Statement'!G27</f>
        <v/>
      </c>
      <c r="H8" s="17">
        <f>'Income Statement'!H27</f>
        <v/>
      </c>
      <c r="I8" s="17">
        <f>'Income Statement'!I27</f>
        <v/>
      </c>
      <c r="J8" s="17">
        <f>'Income Statement'!J27</f>
        <v/>
      </c>
    </row>
    <row r="9">
      <c r="A9" s="12" t="inlineStr">
        <is>
          <t xml:space="preserve">  NOPAT</t>
        </is>
      </c>
      <c r="B9" s="13">
        <f>B7*(1-B8)</f>
        <v/>
      </c>
      <c r="C9" s="13">
        <f>C7*(1-C8)</f>
        <v/>
      </c>
      <c r="D9" s="13">
        <f>D7*(1-D8)</f>
        <v/>
      </c>
      <c r="E9" s="13">
        <f>E7*(1-E8)</f>
        <v/>
      </c>
      <c r="F9" s="13">
        <f>F7*(1-F8)</f>
        <v/>
      </c>
      <c r="G9" s="13">
        <f>G7*(1-G8)</f>
        <v/>
      </c>
      <c r="H9" s="13">
        <f>H7*(1-H8)</f>
        <v/>
      </c>
      <c r="I9" s="13">
        <f>I7*(1-I8)</f>
        <v/>
      </c>
      <c r="J9" s="13">
        <f>J7*(1-J8)</f>
        <v/>
      </c>
    </row>
    <row r="10">
      <c r="A10" s="7" t="inlineStr">
        <is>
          <t xml:space="preserve">  Add: D&amp;A</t>
        </is>
      </c>
      <c r="B10" s="16">
        <f>'Cash Flow'!B8</f>
        <v/>
      </c>
      <c r="C10" s="16">
        <f>'Cash Flow'!C8</f>
        <v/>
      </c>
      <c r="D10" s="16">
        <f>'Cash Flow'!D8</f>
        <v/>
      </c>
      <c r="E10" s="16">
        <f>'Cash Flow'!E8</f>
        <v/>
      </c>
      <c r="F10" s="16">
        <f>'Cash Flow'!F8</f>
        <v/>
      </c>
      <c r="G10" s="16">
        <f>'Cash Flow'!G8</f>
        <v/>
      </c>
      <c r="H10" s="16">
        <f>'Cash Flow'!H8</f>
        <v/>
      </c>
      <c r="I10" s="16">
        <f>'Cash Flow'!I8</f>
        <v/>
      </c>
      <c r="J10" s="16">
        <f>'Cash Flow'!J8</f>
        <v/>
      </c>
    </row>
    <row r="11">
      <c r="A11" s="7" t="inlineStr">
        <is>
          <t xml:space="preserve">  Add: CapEx (neg)</t>
        </is>
      </c>
      <c r="B11" s="16">
        <f>'Cash Flow'!B14</f>
        <v/>
      </c>
      <c r="C11" s="16">
        <f>'Cash Flow'!C14</f>
        <v/>
      </c>
      <c r="D11" s="16">
        <f>'Cash Flow'!D14</f>
        <v/>
      </c>
      <c r="E11" s="16">
        <f>'Cash Flow'!E14</f>
        <v/>
      </c>
      <c r="F11" s="16">
        <f>'Cash Flow'!F14</f>
        <v/>
      </c>
      <c r="G11" s="16">
        <f>'Cash Flow'!G14</f>
        <v/>
      </c>
      <c r="H11" s="16">
        <f>'Cash Flow'!H14</f>
        <v/>
      </c>
      <c r="I11" s="16">
        <f>'Cash Flow'!I14</f>
        <v/>
      </c>
      <c r="J11" s="16">
        <f>'Cash Flow'!J14</f>
        <v/>
      </c>
    </row>
    <row r="12">
      <c r="A12" s="7" t="inlineStr">
        <is>
          <t xml:space="preserve">  Add: Δ working capital</t>
        </is>
      </c>
      <c r="B12" s="16">
        <f>'Cash Flow'!B10</f>
        <v/>
      </c>
      <c r="C12" s="16">
        <f>'Cash Flow'!C10</f>
        <v/>
      </c>
      <c r="D12" s="16">
        <f>'Cash Flow'!D10</f>
        <v/>
      </c>
      <c r="E12" s="16">
        <f>'Cash Flow'!E10</f>
        <v/>
      </c>
      <c r="F12" s="16">
        <f>'Cash Flow'!F10</f>
        <v/>
      </c>
      <c r="G12" s="16">
        <f>'Cash Flow'!G10</f>
        <v/>
      </c>
      <c r="H12" s="16">
        <f>'Cash Flow'!H10</f>
        <v/>
      </c>
      <c r="I12" s="16">
        <f>'Cash Flow'!I10</f>
        <v/>
      </c>
      <c r="J12" s="16">
        <f>'Cash Flow'!J10</f>
        <v/>
      </c>
    </row>
    <row r="13">
      <c r="A13" s="12" t="inlineStr">
        <is>
          <t xml:space="preserve">  UNLEVERED FCF</t>
        </is>
      </c>
      <c r="B13" s="13">
        <f>B9+B10+B11+B12</f>
        <v/>
      </c>
      <c r="C13" s="13">
        <f>C9+C10+C11+C12</f>
        <v/>
      </c>
      <c r="D13" s="13">
        <f>D9+D10+D11+D12</f>
        <v/>
      </c>
      <c r="E13" s="13">
        <f>E9+E10+E11+E12</f>
        <v/>
      </c>
      <c r="F13" s="13">
        <f>F9+F10+F11+F12</f>
        <v/>
      </c>
      <c r="G13" s="13">
        <f>G9+G10+G11+G12</f>
        <v/>
      </c>
      <c r="H13" s="13">
        <f>H9+H10+H11+H12</f>
        <v/>
      </c>
      <c r="I13" s="13">
        <f>I9+I10+I11+I12</f>
        <v/>
      </c>
      <c r="J13" s="13">
        <f>J9+J10+J11+J12</f>
        <v/>
      </c>
    </row>
    <row r="14"/>
    <row r="15">
      <c r="A15" s="5" t="inlineStr">
        <is>
          <t>VALUATION ASSUMPTIONS (Task 3 inputs — blue)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21" t="inlineStr">
        <is>
          <t>Risk-free rate</t>
        </is>
      </c>
      <c r="B16" s="11" t="n">
        <v>0.043</v>
      </c>
    </row>
    <row r="17">
      <c r="A17" s="21" t="inlineStr">
        <is>
          <t>Equity risk premium</t>
        </is>
      </c>
      <c r="B17" s="11" t="n">
        <v>0.05</v>
      </c>
    </row>
    <row r="18">
      <c r="A18" s="21" t="inlineStr">
        <is>
          <t>Beta</t>
        </is>
      </c>
      <c r="B18" s="24" t="n">
        <v>1.35</v>
      </c>
    </row>
    <row r="19">
      <c r="A19" s="21" t="inlineStr">
        <is>
          <t>Cost of equity</t>
        </is>
      </c>
      <c r="B19" s="10">
        <f>B16+B18*B17</f>
        <v/>
      </c>
    </row>
    <row r="20">
      <c r="A20" s="21" t="inlineStr">
        <is>
          <t>After-tax cost of debt</t>
        </is>
      </c>
      <c r="B20" s="11" t="n">
        <v>0.03</v>
      </c>
    </row>
    <row r="21">
      <c r="A21" s="21" t="inlineStr">
        <is>
          <t>Equity weight</t>
        </is>
      </c>
      <c r="B21" s="11" t="n">
        <v>0.98</v>
      </c>
    </row>
    <row r="22">
      <c r="A22" s="21" t="inlineStr">
        <is>
          <t>Debt weight</t>
        </is>
      </c>
      <c r="B22" s="11" t="n">
        <v>0.02</v>
      </c>
    </row>
    <row r="23">
      <c r="A23" s="21" t="inlineStr">
        <is>
          <t>WACC</t>
        </is>
      </c>
      <c r="B23" s="10">
        <f>B19*B21+B20*B22</f>
        <v/>
      </c>
    </row>
    <row r="24">
      <c r="A24" s="21" t="inlineStr">
        <is>
          <t>Terminal growth rate</t>
        </is>
      </c>
      <c r="B24" s="11" t="n">
        <v>0.035</v>
      </c>
    </row>
    <row r="25">
      <c r="A25" s="21" t="inlineStr">
        <is>
          <t>Diluted shares (M, FY2026)</t>
        </is>
      </c>
      <c r="B25" s="25" t="n">
        <v>24514</v>
      </c>
    </row>
    <row r="26">
      <c r="A26" s="21" t="inlineStr">
        <is>
          <t>Net cash (FY2026, $M)</t>
        </is>
      </c>
      <c r="B26" s="25" t="n">
        <v>54088</v>
      </c>
    </row>
    <row r="27">
      <c r="A27" s="21" t="inlineStr">
        <is>
          <t>Current price ($)</t>
        </is>
      </c>
      <c r="B27" s="26" t="n">
        <v>207.4</v>
      </c>
    </row>
    <row r="29">
      <c r="A29" s="2" t="inlineStr">
        <is>
          <t>UFCF row (for Task 3 DCF): row 13 on this tab; terminal year = FY2031E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7" t="inlineStr">
        <is>
          <t>NVIDIA — DCF</t>
        </is>
      </c>
    </row>
    <row r="2">
      <c r="A2" s="2" t="inlineStr">
        <is>
          <t>Discounted cash flow — links to DCF Inputs; base case</t>
        </is>
      </c>
    </row>
    <row r="4">
      <c r="A4" s="28" t="inlineStr">
        <is>
          <t>Unlevered FCF ($M)</t>
        </is>
      </c>
      <c r="B4" s="4" t="inlineStr">
        <is>
          <t>FY2027E</t>
        </is>
      </c>
      <c r="C4" s="4" t="inlineStr">
        <is>
          <t>FY2028E</t>
        </is>
      </c>
      <c r="D4" s="4" t="inlineStr">
        <is>
          <t>FY2029E</t>
        </is>
      </c>
      <c r="E4" s="4" t="inlineStr">
        <is>
          <t>FY2030E</t>
        </is>
      </c>
      <c r="F4" s="4" t="inlineStr">
        <is>
          <t>FY2031E</t>
        </is>
      </c>
    </row>
    <row r="5">
      <c r="A5" s="28" t="inlineStr">
        <is>
          <t>Unlevered FCF</t>
        </is>
      </c>
      <c r="B5" s="16">
        <f>'DCF Inputs'!F13</f>
        <v/>
      </c>
      <c r="C5" s="16">
        <f>'DCF Inputs'!G13</f>
        <v/>
      </c>
      <c r="D5" s="16">
        <f>'DCF Inputs'!H13</f>
        <v/>
      </c>
      <c r="E5" s="16">
        <f>'DCF Inputs'!I13</f>
        <v/>
      </c>
      <c r="F5" s="16">
        <f>'DCF Inputs'!J13</f>
        <v/>
      </c>
    </row>
    <row r="6">
      <c r="A6" s="29" t="inlineStr">
        <is>
          <t>Discount period (t)</t>
        </is>
      </c>
      <c r="B6" s="30" t="n">
        <v>1</v>
      </c>
      <c r="C6" s="30" t="n">
        <v>2</v>
      </c>
      <c r="D6" s="30" t="n">
        <v>3</v>
      </c>
      <c r="E6" s="30" t="n">
        <v>4</v>
      </c>
      <c r="F6" s="30" t="n">
        <v>5</v>
      </c>
    </row>
    <row r="7">
      <c r="A7" s="29" t="inlineStr">
        <is>
          <t>Discount factor</t>
        </is>
      </c>
      <c r="B7" s="31">
        <f>1/(1+'DCF Inputs'!$B$23)^B6</f>
        <v/>
      </c>
      <c r="C7" s="31">
        <f>1/(1+'DCF Inputs'!$B$23)^C6</f>
        <v/>
      </c>
      <c r="D7" s="31">
        <f>1/(1+'DCF Inputs'!$B$23)^D6</f>
        <v/>
      </c>
      <c r="E7" s="31">
        <f>1/(1+'DCF Inputs'!$B$23)^E6</f>
        <v/>
      </c>
      <c r="F7" s="31">
        <f>1/(1+'DCF Inputs'!$B$23)^F6</f>
        <v/>
      </c>
    </row>
    <row r="8">
      <c r="A8" s="29" t="inlineStr">
        <is>
          <t>PV of FCF</t>
        </is>
      </c>
      <c r="B8" s="9">
        <f>B5*B7</f>
        <v/>
      </c>
      <c r="C8" s="9">
        <f>C5*C7</f>
        <v/>
      </c>
      <c r="D8" s="9">
        <f>D5*D7</f>
        <v/>
      </c>
      <c r="E8" s="9">
        <f>E5*E7</f>
        <v/>
      </c>
      <c r="F8" s="9">
        <f>F5*F7</f>
        <v/>
      </c>
    </row>
    <row r="10">
      <c r="A10" s="32" t="inlineStr">
        <is>
          <t>Sum PV of FCF (5yr)</t>
        </is>
      </c>
      <c r="B10" s="33">
        <f>SUM(B8:F8)</f>
        <v/>
      </c>
    </row>
    <row r="11">
      <c r="A11" s="34" t="inlineStr">
        <is>
          <t>Terminal growth (g)</t>
        </is>
      </c>
      <c r="B11" s="17">
        <f>'DCF Inputs'!B24</f>
        <v/>
      </c>
    </row>
    <row r="12">
      <c r="A12" s="34" t="inlineStr">
        <is>
          <t>WACC</t>
        </is>
      </c>
      <c r="B12" s="17">
        <f>'DCF Inputs'!B23</f>
        <v/>
      </c>
    </row>
    <row r="13">
      <c r="A13" s="34" t="inlineStr">
        <is>
          <t>Terminal value (Gordon)</t>
        </is>
      </c>
      <c r="B13" s="9">
        <f>F5*(1+B11)/(B12-B11)</f>
        <v/>
      </c>
    </row>
    <row r="14">
      <c r="A14" s="34" t="inlineStr">
        <is>
          <t>PV of terminal value</t>
        </is>
      </c>
      <c r="B14" s="9">
        <f>B13*F7</f>
        <v/>
      </c>
    </row>
    <row r="15">
      <c r="A15" s="32" t="inlineStr">
        <is>
          <t>Enterprise value</t>
        </is>
      </c>
      <c r="B15" s="33">
        <f>B10+B14</f>
        <v/>
      </c>
    </row>
    <row r="16">
      <c r="A16" s="34" t="inlineStr">
        <is>
          <t>(+) Net cash</t>
        </is>
      </c>
      <c r="B16" s="16">
        <f>'DCF Inputs'!B26</f>
        <v/>
      </c>
    </row>
    <row r="17">
      <c r="A17" s="32" t="inlineStr">
        <is>
          <t>Equity value</t>
        </is>
      </c>
      <c r="B17" s="33">
        <f>B15+B16</f>
        <v/>
      </c>
    </row>
    <row r="18">
      <c r="A18" s="34" t="inlineStr">
        <is>
          <t>Diluted shares (M)</t>
        </is>
      </c>
      <c r="B18" s="35">
        <f>'DCF Inputs'!B25</f>
        <v/>
      </c>
    </row>
    <row r="19">
      <c r="A19" s="32" t="inlineStr">
        <is>
          <t>Value per share ($)</t>
        </is>
      </c>
      <c r="B19" s="36">
        <f>B17/B18</f>
        <v/>
      </c>
    </row>
    <row r="20">
      <c r="A20" s="34" t="inlineStr">
        <is>
          <t>Current price ($)</t>
        </is>
      </c>
      <c r="B20" s="37">
        <f>'DCF Inputs'!B27</f>
        <v/>
      </c>
    </row>
    <row r="21">
      <c r="A21" s="32" t="inlineStr">
        <is>
          <t>Upside / (downside)</t>
        </is>
      </c>
      <c r="B21" s="38">
        <f>B19/B20-1</f>
        <v/>
      </c>
    </row>
    <row r="22">
      <c r="A22" s="34" t="inlineStr">
        <is>
          <t>TV as % of EV (sanity)</t>
        </is>
      </c>
      <c r="B22" s="10">
        <f>B14/B15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7" t="inlineStr">
        <is>
          <t>NVIDIA — DCF Sensitivity</t>
        </is>
      </c>
    </row>
    <row r="2">
      <c r="A2" s="2" t="inlineStr">
        <is>
          <t>Value per share ($): WACC (rows) × terminal growth (cols). Base case shaded</t>
        </is>
      </c>
    </row>
    <row r="4">
      <c r="A4" s="4" t="inlineStr">
        <is>
          <t>WACC \ g</t>
        </is>
      </c>
      <c r="B4" s="39" t="n">
        <v>0.025</v>
      </c>
      <c r="C4" s="39" t="n">
        <v>0.03</v>
      </c>
      <c r="D4" s="39" t="n">
        <v>0.035</v>
      </c>
      <c r="E4" s="39" t="n">
        <v>0.04</v>
      </c>
      <c r="F4" s="39" t="n">
        <v>0.045</v>
      </c>
    </row>
    <row r="5">
      <c r="A5" s="40" t="n">
        <v>0.08500000000000001</v>
      </c>
      <c r="B5" s="37">
        <f>('DCF'!$B$5/(1+$A5)^1+'DCF'!$C$5/(1+$A5)^2+'DCF'!$D$5/(1+$A5)^3+'DCF'!$E$5/(1+$A5)^4+'DCF'!$F$5/(1+$A5)^5+('DCF'!$F$5*(1+B$4)/($A5-B$4))/(1+$A5)^5+'DCF Inputs'!$B$26)/'DCF Inputs'!$B$25</f>
        <v/>
      </c>
      <c r="C5" s="37">
        <f>('DCF'!$B$5/(1+$A5)^1+'DCF'!$C$5/(1+$A5)^2+'DCF'!$D$5/(1+$A5)^3+'DCF'!$E$5/(1+$A5)^4+'DCF'!$F$5/(1+$A5)^5+('DCF'!$F$5*(1+C$4)/($A5-C$4))/(1+$A5)^5+'DCF Inputs'!$B$26)/'DCF Inputs'!$B$25</f>
        <v/>
      </c>
      <c r="D5" s="37">
        <f>('DCF'!$B$5/(1+$A5)^1+'DCF'!$C$5/(1+$A5)^2+'DCF'!$D$5/(1+$A5)^3+'DCF'!$E$5/(1+$A5)^4+'DCF'!$F$5/(1+$A5)^5+('DCF'!$F$5*(1+D$4)/($A5-D$4))/(1+$A5)^5+'DCF Inputs'!$B$26)/'DCF Inputs'!$B$25</f>
        <v/>
      </c>
      <c r="E5" s="37">
        <f>('DCF'!$B$5/(1+$A5)^1+'DCF'!$C$5/(1+$A5)^2+'DCF'!$D$5/(1+$A5)^3+'DCF'!$E$5/(1+$A5)^4+'DCF'!$F$5/(1+$A5)^5+('DCF'!$F$5*(1+E$4)/($A5-E$4))/(1+$A5)^5+'DCF Inputs'!$B$26)/'DCF Inputs'!$B$25</f>
        <v/>
      </c>
      <c r="F5" s="37">
        <f>('DCF'!$B$5/(1+$A5)^1+'DCF'!$C$5/(1+$A5)^2+'DCF'!$D$5/(1+$A5)^3+'DCF'!$E$5/(1+$A5)^4+'DCF'!$F$5/(1+$A5)^5+('DCF'!$F$5*(1+F$4)/($A5-F$4))/(1+$A5)^5+'DCF Inputs'!$B$26)/'DCF Inputs'!$B$25</f>
        <v/>
      </c>
    </row>
    <row r="6">
      <c r="A6" s="40" t="n">
        <v>0.09</v>
      </c>
      <c r="B6" s="37">
        <f>('DCF'!$B$5/(1+$A6)^1+'DCF'!$C$5/(1+$A6)^2+'DCF'!$D$5/(1+$A6)^3+'DCF'!$E$5/(1+$A6)^4+'DCF'!$F$5/(1+$A6)^5+('DCF'!$F$5*(1+B$4)/($A6-B$4))/(1+$A6)^5+'DCF Inputs'!$B$26)/'DCF Inputs'!$B$25</f>
        <v/>
      </c>
      <c r="C6" s="37">
        <f>('DCF'!$B$5/(1+$A6)^1+'DCF'!$C$5/(1+$A6)^2+'DCF'!$D$5/(1+$A6)^3+'DCF'!$E$5/(1+$A6)^4+'DCF'!$F$5/(1+$A6)^5+('DCF'!$F$5*(1+C$4)/($A6-C$4))/(1+$A6)^5+'DCF Inputs'!$B$26)/'DCF Inputs'!$B$25</f>
        <v/>
      </c>
      <c r="D6" s="37">
        <f>('DCF'!$B$5/(1+$A6)^1+'DCF'!$C$5/(1+$A6)^2+'DCF'!$D$5/(1+$A6)^3+'DCF'!$E$5/(1+$A6)^4+'DCF'!$F$5/(1+$A6)^5+('DCF'!$F$5*(1+D$4)/($A6-D$4))/(1+$A6)^5+'DCF Inputs'!$B$26)/'DCF Inputs'!$B$25</f>
        <v/>
      </c>
      <c r="E6" s="37">
        <f>('DCF'!$B$5/(1+$A6)^1+'DCF'!$C$5/(1+$A6)^2+'DCF'!$D$5/(1+$A6)^3+'DCF'!$E$5/(1+$A6)^4+'DCF'!$F$5/(1+$A6)^5+('DCF'!$F$5*(1+E$4)/($A6-E$4))/(1+$A6)^5+'DCF Inputs'!$B$26)/'DCF Inputs'!$B$25</f>
        <v/>
      </c>
      <c r="F6" s="37">
        <f>('DCF'!$B$5/(1+$A6)^1+'DCF'!$C$5/(1+$A6)^2+'DCF'!$D$5/(1+$A6)^3+'DCF'!$E$5/(1+$A6)^4+'DCF'!$F$5/(1+$A6)^5+('DCF'!$F$5*(1+F$4)/($A6-F$4))/(1+$A6)^5+'DCF Inputs'!$B$26)/'DCF Inputs'!$B$25</f>
        <v/>
      </c>
    </row>
    <row r="7">
      <c r="A7" s="40" t="n">
        <v>0.095</v>
      </c>
      <c r="B7" s="37">
        <f>('DCF'!$B$5/(1+$A7)^1+'DCF'!$C$5/(1+$A7)^2+'DCF'!$D$5/(1+$A7)^3+'DCF'!$E$5/(1+$A7)^4+'DCF'!$F$5/(1+$A7)^5+('DCF'!$F$5*(1+B$4)/($A7-B$4))/(1+$A7)^5+'DCF Inputs'!$B$26)/'DCF Inputs'!$B$25</f>
        <v/>
      </c>
      <c r="C7" s="37">
        <f>('DCF'!$B$5/(1+$A7)^1+'DCF'!$C$5/(1+$A7)^2+'DCF'!$D$5/(1+$A7)^3+'DCF'!$E$5/(1+$A7)^4+'DCF'!$F$5/(1+$A7)^5+('DCF'!$F$5*(1+C$4)/($A7-C$4))/(1+$A7)^5+'DCF Inputs'!$B$26)/'DCF Inputs'!$B$25</f>
        <v/>
      </c>
      <c r="D7" s="37">
        <f>('DCF'!$B$5/(1+$A7)^1+'DCF'!$C$5/(1+$A7)^2+'DCF'!$D$5/(1+$A7)^3+'DCF'!$E$5/(1+$A7)^4+'DCF'!$F$5/(1+$A7)^5+('DCF'!$F$5*(1+D$4)/($A7-D$4))/(1+$A7)^5+'DCF Inputs'!$B$26)/'DCF Inputs'!$B$25</f>
        <v/>
      </c>
      <c r="E7" s="37">
        <f>('DCF'!$B$5/(1+$A7)^1+'DCF'!$C$5/(1+$A7)^2+'DCF'!$D$5/(1+$A7)^3+'DCF'!$E$5/(1+$A7)^4+'DCF'!$F$5/(1+$A7)^5+('DCF'!$F$5*(1+E$4)/($A7-E$4))/(1+$A7)^5+'DCF Inputs'!$B$26)/'DCF Inputs'!$B$25</f>
        <v/>
      </c>
      <c r="F7" s="37">
        <f>('DCF'!$B$5/(1+$A7)^1+'DCF'!$C$5/(1+$A7)^2+'DCF'!$D$5/(1+$A7)^3+'DCF'!$E$5/(1+$A7)^4+'DCF'!$F$5/(1+$A7)^5+('DCF'!$F$5*(1+F$4)/($A7-F$4))/(1+$A7)^5+'DCF Inputs'!$B$26)/'DCF Inputs'!$B$25</f>
        <v/>
      </c>
    </row>
    <row r="8">
      <c r="A8" s="40" t="n">
        <v>0.1</v>
      </c>
      <c r="B8" s="37">
        <f>('DCF'!$B$5/(1+$A8)^1+'DCF'!$C$5/(1+$A8)^2+'DCF'!$D$5/(1+$A8)^3+'DCF'!$E$5/(1+$A8)^4+'DCF'!$F$5/(1+$A8)^5+('DCF'!$F$5*(1+B$4)/($A8-B$4))/(1+$A8)^5+'DCF Inputs'!$B$26)/'DCF Inputs'!$B$25</f>
        <v/>
      </c>
      <c r="C8" s="37">
        <f>('DCF'!$B$5/(1+$A8)^1+'DCF'!$C$5/(1+$A8)^2+'DCF'!$D$5/(1+$A8)^3+'DCF'!$E$5/(1+$A8)^4+'DCF'!$F$5/(1+$A8)^5+('DCF'!$F$5*(1+C$4)/($A8-C$4))/(1+$A8)^5+'DCF Inputs'!$B$26)/'DCF Inputs'!$B$25</f>
        <v/>
      </c>
      <c r="D8" s="37">
        <f>('DCF'!$B$5/(1+$A8)^1+'DCF'!$C$5/(1+$A8)^2+'DCF'!$D$5/(1+$A8)^3+'DCF'!$E$5/(1+$A8)^4+'DCF'!$F$5/(1+$A8)^5+('DCF'!$F$5*(1+D$4)/($A8-D$4))/(1+$A8)^5+'DCF Inputs'!$B$26)/'DCF Inputs'!$B$25</f>
        <v/>
      </c>
      <c r="E8" s="37">
        <f>('DCF'!$B$5/(1+$A8)^1+'DCF'!$C$5/(1+$A8)^2+'DCF'!$D$5/(1+$A8)^3+'DCF'!$E$5/(1+$A8)^4+'DCF'!$F$5/(1+$A8)^5+('DCF'!$F$5*(1+E$4)/($A8-E$4))/(1+$A8)^5+'DCF Inputs'!$B$26)/'DCF Inputs'!$B$25</f>
        <v/>
      </c>
      <c r="F8" s="37">
        <f>('DCF'!$B$5/(1+$A8)^1+'DCF'!$C$5/(1+$A8)^2+'DCF'!$D$5/(1+$A8)^3+'DCF'!$E$5/(1+$A8)^4+'DCF'!$F$5/(1+$A8)^5+('DCF'!$F$5*(1+F$4)/($A8-F$4))/(1+$A8)^5+'DCF Inputs'!$B$26)/'DCF Inputs'!$B$25</f>
        <v/>
      </c>
    </row>
    <row r="9">
      <c r="A9" s="40" t="n">
        <v>0.105</v>
      </c>
      <c r="B9" s="37">
        <f>('DCF'!$B$5/(1+$A9)^1+'DCF'!$C$5/(1+$A9)^2+'DCF'!$D$5/(1+$A9)^3+'DCF'!$E$5/(1+$A9)^4+'DCF'!$F$5/(1+$A9)^5+('DCF'!$F$5*(1+B$4)/($A9-B$4))/(1+$A9)^5+'DCF Inputs'!$B$26)/'DCF Inputs'!$B$25</f>
        <v/>
      </c>
      <c r="C9" s="37">
        <f>('DCF'!$B$5/(1+$A9)^1+'DCF'!$C$5/(1+$A9)^2+'DCF'!$D$5/(1+$A9)^3+'DCF'!$E$5/(1+$A9)^4+'DCF'!$F$5/(1+$A9)^5+('DCF'!$F$5*(1+C$4)/($A9-C$4))/(1+$A9)^5+'DCF Inputs'!$B$26)/'DCF Inputs'!$B$25</f>
        <v/>
      </c>
      <c r="D9" s="37">
        <f>('DCF'!$B$5/(1+$A9)^1+'DCF'!$C$5/(1+$A9)^2+'DCF'!$D$5/(1+$A9)^3+'DCF'!$E$5/(1+$A9)^4+'DCF'!$F$5/(1+$A9)^5+('DCF'!$F$5*(1+D$4)/($A9-D$4))/(1+$A9)^5+'DCF Inputs'!$B$26)/'DCF Inputs'!$B$25</f>
        <v/>
      </c>
      <c r="E9" s="37">
        <f>('DCF'!$B$5/(1+$A9)^1+'DCF'!$C$5/(1+$A9)^2+'DCF'!$D$5/(1+$A9)^3+'DCF'!$E$5/(1+$A9)^4+'DCF'!$F$5/(1+$A9)^5+('DCF'!$F$5*(1+E$4)/($A9-E$4))/(1+$A9)^5+'DCF Inputs'!$B$26)/'DCF Inputs'!$B$25</f>
        <v/>
      </c>
      <c r="F9" s="37">
        <f>('DCF'!$B$5/(1+$A9)^1+'DCF'!$C$5/(1+$A9)^2+'DCF'!$D$5/(1+$A9)^3+'DCF'!$E$5/(1+$A9)^4+'DCF'!$F$5/(1+$A9)^5+('DCF'!$F$5*(1+F$4)/($A9-F$4))/(1+$A9)^5+'DCF Inputs'!$B$26)/'DCF Inputs'!$B$25</f>
        <v/>
      </c>
    </row>
    <row r="10">
      <c r="A10" s="41" t="n">
        <v>0.10889</v>
      </c>
      <c r="B10" s="37">
        <f>('DCF'!$B$5/(1+$A10)^1+'DCF'!$C$5/(1+$A10)^2+'DCF'!$D$5/(1+$A10)^3+'DCF'!$E$5/(1+$A10)^4+'DCF'!$F$5/(1+$A10)^5+('DCF'!$F$5*(1+B$4)/($A10-B$4))/(1+$A10)^5+'DCF Inputs'!$B$26)/'DCF Inputs'!$B$25</f>
        <v/>
      </c>
      <c r="C10" s="37">
        <f>('DCF'!$B$5/(1+$A10)^1+'DCF'!$C$5/(1+$A10)^2+'DCF'!$D$5/(1+$A10)^3+'DCF'!$E$5/(1+$A10)^4+'DCF'!$F$5/(1+$A10)^5+('DCF'!$F$5*(1+C$4)/($A10-C$4))/(1+$A10)^5+'DCF Inputs'!$B$26)/'DCF Inputs'!$B$25</f>
        <v/>
      </c>
      <c r="D10" s="42">
        <f>('DCF'!$B$5/(1+$A10)^1+'DCF'!$C$5/(1+$A10)^2+'DCF'!$D$5/(1+$A10)^3+'DCF'!$E$5/(1+$A10)^4+'DCF'!$F$5/(1+$A10)^5+('DCF'!$F$5*(1+D$4)/($A10-D$4))/(1+$A10)^5+'DCF Inputs'!$B$26)/'DCF Inputs'!$B$25</f>
        <v/>
      </c>
      <c r="E10" s="37">
        <f>('DCF'!$B$5/(1+$A10)^1+'DCF'!$C$5/(1+$A10)^2+'DCF'!$D$5/(1+$A10)^3+'DCF'!$E$5/(1+$A10)^4+'DCF'!$F$5/(1+$A10)^5+('DCF'!$F$5*(1+E$4)/($A10-E$4))/(1+$A10)^5+'DCF Inputs'!$B$26)/'DCF Inputs'!$B$25</f>
        <v/>
      </c>
      <c r="F10" s="37">
        <f>('DCF'!$B$5/(1+$A10)^1+'DCF'!$C$5/(1+$A10)^2+'DCF'!$D$5/(1+$A10)^3+'DCF'!$E$5/(1+$A10)^4+'DCF'!$F$5/(1+$A10)^5+('DCF'!$F$5*(1+F$4)/($A10-F$4))/(1+$A10)^5+'DCF Inputs'!$B$26)/'DCF Inputs'!$B$25</f>
        <v/>
      </c>
    </row>
    <row r="11">
      <c r="A11" s="40" t="n">
        <v>0.115</v>
      </c>
      <c r="B11" s="37">
        <f>('DCF'!$B$5/(1+$A11)^1+'DCF'!$C$5/(1+$A11)^2+'DCF'!$D$5/(1+$A11)^3+'DCF'!$E$5/(1+$A11)^4+'DCF'!$F$5/(1+$A11)^5+('DCF'!$F$5*(1+B$4)/($A11-B$4))/(1+$A11)^5+'DCF Inputs'!$B$26)/'DCF Inputs'!$B$25</f>
        <v/>
      </c>
      <c r="C11" s="37">
        <f>('DCF'!$B$5/(1+$A11)^1+'DCF'!$C$5/(1+$A11)^2+'DCF'!$D$5/(1+$A11)^3+'DCF'!$E$5/(1+$A11)^4+'DCF'!$F$5/(1+$A11)^5+('DCF'!$F$5*(1+C$4)/($A11-C$4))/(1+$A11)^5+'DCF Inputs'!$B$26)/'DCF Inputs'!$B$25</f>
        <v/>
      </c>
      <c r="D11" s="37">
        <f>('DCF'!$B$5/(1+$A11)^1+'DCF'!$C$5/(1+$A11)^2+'DCF'!$D$5/(1+$A11)^3+'DCF'!$E$5/(1+$A11)^4+'DCF'!$F$5/(1+$A11)^5+('DCF'!$F$5*(1+D$4)/($A11-D$4))/(1+$A11)^5+'DCF Inputs'!$B$26)/'DCF Inputs'!$B$25</f>
        <v/>
      </c>
      <c r="E11" s="37">
        <f>('DCF'!$B$5/(1+$A11)^1+'DCF'!$C$5/(1+$A11)^2+'DCF'!$D$5/(1+$A11)^3+'DCF'!$E$5/(1+$A11)^4+'DCF'!$F$5/(1+$A11)^5+('DCF'!$F$5*(1+E$4)/($A11-E$4))/(1+$A11)^5+'DCF Inputs'!$B$26)/'DCF Inputs'!$B$25</f>
        <v/>
      </c>
      <c r="F11" s="37">
        <f>('DCF'!$B$5/(1+$A11)^1+'DCF'!$C$5/(1+$A11)^2+'DCF'!$D$5/(1+$A11)^3+'DCF'!$E$5/(1+$A11)^4+'DCF'!$F$5/(1+$A11)^5+('DCF'!$F$5*(1+F$4)/($A11-F$4))/(1+$A11)^5+'DCF Inputs'!$B$26)/'DCF Inputs'!$B$25</f>
        <v/>
      </c>
    </row>
    <row r="12">
      <c r="A12" s="40" t="n">
        <v>0.12</v>
      </c>
      <c r="B12" s="37">
        <f>('DCF'!$B$5/(1+$A12)^1+'DCF'!$C$5/(1+$A12)^2+'DCF'!$D$5/(1+$A12)^3+'DCF'!$E$5/(1+$A12)^4+'DCF'!$F$5/(1+$A12)^5+('DCF'!$F$5*(1+B$4)/($A12-B$4))/(1+$A12)^5+'DCF Inputs'!$B$26)/'DCF Inputs'!$B$25</f>
        <v/>
      </c>
      <c r="C12" s="37">
        <f>('DCF'!$B$5/(1+$A12)^1+'DCF'!$C$5/(1+$A12)^2+'DCF'!$D$5/(1+$A12)^3+'DCF'!$E$5/(1+$A12)^4+'DCF'!$F$5/(1+$A12)^5+('DCF'!$F$5*(1+C$4)/($A12-C$4))/(1+$A12)^5+'DCF Inputs'!$B$26)/'DCF Inputs'!$B$25</f>
        <v/>
      </c>
      <c r="D12" s="37">
        <f>('DCF'!$B$5/(1+$A12)^1+'DCF'!$C$5/(1+$A12)^2+'DCF'!$D$5/(1+$A12)^3+'DCF'!$E$5/(1+$A12)^4+'DCF'!$F$5/(1+$A12)^5+('DCF'!$F$5*(1+D$4)/($A12-D$4))/(1+$A12)^5+'DCF Inputs'!$B$26)/'DCF Inputs'!$B$25</f>
        <v/>
      </c>
      <c r="E12" s="37">
        <f>('DCF'!$B$5/(1+$A12)^1+'DCF'!$C$5/(1+$A12)^2+'DCF'!$D$5/(1+$A12)^3+'DCF'!$E$5/(1+$A12)^4+'DCF'!$F$5/(1+$A12)^5+('DCF'!$F$5*(1+E$4)/($A12-E$4))/(1+$A12)^5+'DCF Inputs'!$B$26)/'DCF Inputs'!$B$25</f>
        <v/>
      </c>
      <c r="F12" s="37">
        <f>('DCF'!$B$5/(1+$A12)^1+'DCF'!$C$5/(1+$A12)^2+'DCF'!$D$5/(1+$A12)^3+'DCF'!$E$5/(1+$A12)^4+'DCF'!$F$5/(1+$A12)^5+('DCF'!$F$5*(1+F$4)/($A12-F$4))/(1+$A12)^5+'DCF Inputs'!$B$26)/'DCF Inputs'!$B$25</f>
        <v/>
      </c>
    </row>
    <row r="14">
      <c r="A14" s="43" t="inlineStr">
        <is>
          <t>Shaded = base case (WACC 10.9%, g 3.5%). NVDA is justified near current price only at WACC ≲ 9%.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7" t="inlineStr">
        <is>
          <t>NVIDIA — Comps</t>
        </is>
      </c>
    </row>
    <row r="2">
      <c r="A2" s="2" t="inlineStr">
        <is>
          <t>Comparable companies — trading multiples; NVDA applied to peer NTM multiples</t>
        </is>
      </c>
    </row>
    <row r="4">
      <c r="A4" s="4" t="inlineStr">
        <is>
          <t>Company</t>
        </is>
      </c>
      <c r="B4" s="4" t="inlineStr">
        <is>
          <t>Ticker</t>
        </is>
      </c>
      <c r="C4" s="4" t="inlineStr">
        <is>
          <t>Mkt Cap($B)</t>
        </is>
      </c>
      <c r="D4" s="4" t="inlineStr">
        <is>
          <t>EV($B)</t>
        </is>
      </c>
      <c r="E4" s="4" t="inlineStr">
        <is>
          <t>EV/Rev LTM</t>
        </is>
      </c>
      <c r="F4" s="4" t="inlineStr">
        <is>
          <t>EV/Rev NTM</t>
        </is>
      </c>
      <c r="G4" s="4" t="inlineStr">
        <is>
          <t>EV/EBITDA LTM</t>
        </is>
      </c>
      <c r="H4" s="4" t="inlineStr">
        <is>
          <t>EV/EBITDA NTM</t>
        </is>
      </c>
      <c r="I4" s="4" t="inlineStr">
        <is>
          <t>P/E NTM</t>
        </is>
      </c>
      <c r="J4" s="4" t="inlineStr">
        <is>
          <t>Rev Gr%</t>
        </is>
      </c>
      <c r="K4" s="4" t="inlineStr">
        <is>
          <t>EBITDA Mgn%</t>
        </is>
      </c>
    </row>
    <row r="5">
      <c r="A5" s="44" t="inlineStr">
        <is>
          <t>Advanced Micro Devices</t>
        </is>
      </c>
      <c r="B5" s="45" t="inlineStr">
        <is>
          <t>AMD</t>
        </is>
      </c>
      <c r="C5" s="8" t="n">
        <v>816.83</v>
      </c>
      <c r="D5" s="8" t="n">
        <v>808.35</v>
      </c>
      <c r="E5" s="46" t="n">
        <v>21.58</v>
      </c>
      <c r="F5" s="46" t="n">
        <v>15.99</v>
      </c>
      <c r="G5" s="46" t="n">
        <v>108.8</v>
      </c>
      <c r="H5" s="46" t="n">
        <v>66.64</v>
      </c>
      <c r="I5" s="46" t="n">
        <v>56.67</v>
      </c>
      <c r="J5" s="11" t="n">
        <v>0.35</v>
      </c>
      <c r="K5" s="11" t="n">
        <v>0.1984</v>
      </c>
    </row>
    <row r="6">
      <c r="A6" s="44" t="inlineStr">
        <is>
          <t>Broadcom</t>
        </is>
      </c>
      <c r="B6" s="45" t="inlineStr">
        <is>
          <t>AVGO</t>
        </is>
      </c>
      <c r="C6" s="8" t="n">
        <v>1780</v>
      </c>
      <c r="D6" s="8" t="n">
        <v>1825.28</v>
      </c>
      <c r="E6" s="46" t="n">
        <v>24.19</v>
      </c>
      <c r="F6" s="46" t="n">
        <v>18.6</v>
      </c>
      <c r="G6" s="46" t="n">
        <v>43.38</v>
      </c>
      <c r="H6" s="46" t="n">
        <v>32.08</v>
      </c>
      <c r="I6" s="46" t="n">
        <v>23.76</v>
      </c>
      <c r="J6" s="11" t="n">
        <v>0.3</v>
      </c>
      <c r="K6" s="11" t="n">
        <v>0.5577000000000001</v>
      </c>
    </row>
    <row r="7">
      <c r="A7" s="44" t="inlineStr">
        <is>
          <t>Taiwan Semiconductor</t>
        </is>
      </c>
      <c r="B7" s="45" t="inlineStr">
        <is>
          <t>TSM</t>
        </is>
      </c>
      <c r="C7" s="8" t="n">
        <v>1980</v>
      </c>
      <c r="D7" s="8" t="n">
        <v>1908.42</v>
      </c>
      <c r="E7" s="46" t="n">
        <v>14.87</v>
      </c>
      <c r="F7" s="46" t="n">
        <v>11.62</v>
      </c>
      <c r="G7" s="46" t="n">
        <v>21.37</v>
      </c>
      <c r="H7" s="46" t="n">
        <v>16.6</v>
      </c>
      <c r="I7" s="46" t="n">
        <v>20.01</v>
      </c>
      <c r="J7" s="11" t="n">
        <v>0.28</v>
      </c>
      <c r="K7" s="11" t="n">
        <v>0.6959000000000001</v>
      </c>
    </row>
    <row r="8">
      <c r="A8" s="44" t="inlineStr">
        <is>
          <t>Qualcomm</t>
        </is>
      </c>
      <c r="B8" s="45" t="inlineStr">
        <is>
          <t>QCOM</t>
        </is>
      </c>
      <c r="C8" s="8" t="n">
        <v>179.82</v>
      </c>
      <c r="D8" s="8" t="n">
        <v>185.29</v>
      </c>
      <c r="E8" s="46" t="n">
        <v>4.16</v>
      </c>
      <c r="F8" s="46" t="n">
        <v>3.93</v>
      </c>
      <c r="G8" s="46" t="n">
        <v>14.25</v>
      </c>
      <c r="H8" s="46" t="n">
        <v>13.1</v>
      </c>
      <c r="I8" s="46" t="n">
        <v>17.27</v>
      </c>
      <c r="J8" s="11" t="n">
        <v>0.06</v>
      </c>
      <c r="K8" s="11" t="n">
        <v>0.2922</v>
      </c>
    </row>
    <row r="9">
      <c r="A9" s="44" t="inlineStr">
        <is>
          <t>Marvell Technology</t>
        </is>
      </c>
      <c r="B9" s="45" t="inlineStr">
        <is>
          <t>MRVL</t>
        </is>
      </c>
      <c r="C9" s="8" t="n">
        <v>164.91</v>
      </c>
      <c r="D9" s="8" t="n">
        <v>166.35</v>
      </c>
      <c r="E9" s="46" t="n">
        <v>19.08</v>
      </c>
      <c r="F9" s="46" t="n">
        <v>13.83</v>
      </c>
      <c r="G9" s="46" t="n">
        <v>61.38</v>
      </c>
      <c r="H9" s="46" t="n">
        <v>38.42</v>
      </c>
      <c r="I9" s="46" t="n">
        <v>41.47</v>
      </c>
      <c r="J9" s="11" t="n">
        <v>0.38</v>
      </c>
      <c r="K9" s="11" t="n">
        <v>0.3111</v>
      </c>
    </row>
    <row r="10">
      <c r="A10" s="44" t="inlineStr">
        <is>
          <t>Micron Technology</t>
        </is>
      </c>
      <c r="B10" s="45" t="inlineStr">
        <is>
          <t>MU</t>
        </is>
      </c>
      <c r="C10" s="8" t="n">
        <v>963.6</v>
      </c>
      <c r="D10" s="8" t="n">
        <v>943.96</v>
      </c>
      <c r="E10" s="46" t="n">
        <v>10.46</v>
      </c>
      <c r="F10" s="46" t="n">
        <v>7.75</v>
      </c>
      <c r="G10" s="46" t="n">
        <v>13.84</v>
      </c>
      <c r="H10" s="46" t="n">
        <v>10.19</v>
      </c>
      <c r="I10" s="46" t="n">
        <v>5.95</v>
      </c>
      <c r="J10" s="11" t="n">
        <v>0.35</v>
      </c>
      <c r="K10" s="11" t="n">
        <v>0.7556999999999999</v>
      </c>
    </row>
    <row r="11">
      <c r="A11" s="44" t="inlineStr">
        <is>
          <t>Intel</t>
        </is>
      </c>
      <c r="B11" s="45" t="inlineStr">
        <is>
          <t>INTC</t>
        </is>
      </c>
      <c r="C11" s="8" t="n">
        <v>487.42</v>
      </c>
      <c r="D11" s="8" t="n">
        <v>499.66</v>
      </c>
      <c r="E11" s="46" t="n">
        <v>9.289999999999999</v>
      </c>
      <c r="F11" s="46" t="n">
        <v>8.300000000000001</v>
      </c>
      <c r="G11" s="46" t="n">
        <v>35.26</v>
      </c>
      <c r="H11" s="46" t="n">
        <v>30.73</v>
      </c>
      <c r="I11" s="46" t="n">
        <v>89.51000000000001</v>
      </c>
      <c r="J11" s="11" t="n">
        <v>0.12</v>
      </c>
      <c r="K11" s="11" t="n">
        <v>0.2636</v>
      </c>
    </row>
    <row r="12">
      <c r="A12" s="44" t="inlineStr">
        <is>
          <t>Arm Holdings</t>
        </is>
      </c>
      <c r="B12" s="45" t="inlineStr">
        <is>
          <t>ARM</t>
        </is>
      </c>
      <c r="C12" s="8" t="n">
        <v>279.85</v>
      </c>
      <c r="D12" s="8" t="n">
        <v>276.74</v>
      </c>
      <c r="E12" s="46" t="n">
        <v>56.25</v>
      </c>
      <c r="F12" s="46" t="n">
        <v>43.93</v>
      </c>
      <c r="G12" s="46" t="n">
        <v>261.08</v>
      </c>
      <c r="H12" s="46" t="n">
        <v>183.27</v>
      </c>
      <c r="I12" s="46" t="n">
        <v>120.85</v>
      </c>
      <c r="J12" s="11" t="n">
        <v>0.28</v>
      </c>
      <c r="K12" s="11" t="n">
        <v>0.2164</v>
      </c>
    </row>
    <row r="14">
      <c r="A14" s="32" t="inlineStr">
        <is>
          <t>Maximum</t>
        </is>
      </c>
      <c r="E14" s="47" t="n">
        <v>56.25</v>
      </c>
      <c r="F14" s="47" t="n">
        <v>43.93</v>
      </c>
      <c r="G14" s="47" t="n">
        <v>261.08</v>
      </c>
      <c r="H14" s="47" t="n">
        <v>183.27</v>
      </c>
      <c r="I14" s="47" t="n">
        <v>120.85</v>
      </c>
      <c r="J14" s="48" t="n">
        <v>0.38</v>
      </c>
      <c r="K14" s="48" t="n">
        <v>0.7557</v>
      </c>
    </row>
    <row r="15">
      <c r="A15" s="32" t="inlineStr">
        <is>
          <t>75th percentile</t>
        </is>
      </c>
      <c r="E15" s="47" t="n">
        <v>23.5375</v>
      </c>
      <c r="F15" s="47" t="n">
        <v>17.9475</v>
      </c>
      <c r="G15" s="47" t="n">
        <v>96.94499999999999</v>
      </c>
      <c r="H15" s="47" t="n">
        <v>59.585</v>
      </c>
      <c r="I15" s="47" t="n">
        <v>81.3</v>
      </c>
      <c r="J15" s="48" t="n">
        <v>0.35</v>
      </c>
      <c r="K15" s="48" t="n">
        <v>0.6614</v>
      </c>
    </row>
    <row r="16">
      <c r="A16" s="32" t="inlineStr">
        <is>
          <t>Median</t>
        </is>
      </c>
      <c r="E16" s="47" t="n">
        <v>16.975</v>
      </c>
      <c r="F16" s="47" t="n">
        <v>12.725</v>
      </c>
      <c r="G16" s="47" t="n">
        <v>39.32</v>
      </c>
      <c r="H16" s="47" t="n">
        <v>31.405</v>
      </c>
      <c r="I16" s="47" t="n">
        <v>32.615</v>
      </c>
      <c r="J16" s="48" t="n">
        <v>0.29</v>
      </c>
      <c r="K16" s="48" t="n">
        <v>0.3016</v>
      </c>
    </row>
    <row r="17">
      <c r="A17" s="32" t="inlineStr">
        <is>
          <t>25th percentile</t>
        </is>
      </c>
      <c r="E17" s="47" t="n">
        <v>9.5825</v>
      </c>
      <c r="F17" s="47" t="n">
        <v>7.8875</v>
      </c>
      <c r="G17" s="47" t="n">
        <v>16.03</v>
      </c>
      <c r="H17" s="47" t="n">
        <v>13.975</v>
      </c>
      <c r="I17" s="47" t="n">
        <v>17.955</v>
      </c>
      <c r="J17" s="48" t="n">
        <v>0.16</v>
      </c>
      <c r="K17" s="48" t="n">
        <v>0.2282</v>
      </c>
    </row>
    <row r="18">
      <c r="A18" s="32" t="inlineStr">
        <is>
          <t>Minimum</t>
        </is>
      </c>
      <c r="E18" s="47" t="n">
        <v>4.16</v>
      </c>
      <c r="F18" s="47" t="n">
        <v>3.93</v>
      </c>
      <c r="G18" s="47" t="n">
        <v>13.84</v>
      </c>
      <c r="H18" s="47" t="n">
        <v>10.19</v>
      </c>
      <c r="I18" s="47" t="n">
        <v>5.95</v>
      </c>
      <c r="J18" s="48" t="n">
        <v>0.06</v>
      </c>
      <c r="K18" s="48" t="n">
        <v>0.1984</v>
      </c>
    </row>
    <row r="21">
      <c r="A21" s="49" t="inlineStr">
        <is>
          <t>APPLIED TO NVDA (NTM = FY2027E)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34" t="inlineStr">
        <is>
          <t>NVDA NTM EBITDA ($M)</t>
        </is>
      </c>
      <c r="B22" s="16">
        <f>'Income Statement'!F22</f>
        <v/>
      </c>
    </row>
    <row r="23">
      <c r="A23" s="34" t="inlineStr">
        <is>
          <t>NVDA NTM EPS ($)</t>
        </is>
      </c>
      <c r="B23" s="37">
        <f>'Income Statement'!F33</f>
        <v/>
      </c>
    </row>
    <row r="24">
      <c r="A24" s="34" t="inlineStr">
        <is>
          <t>NVDA net cash ($M)</t>
        </is>
      </c>
      <c r="B24" s="16">
        <f>'DCF Inputs'!B26</f>
        <v/>
      </c>
    </row>
    <row r="25">
      <c r="A25" s="34" t="inlineStr">
        <is>
          <t>NVDA shares (M)</t>
        </is>
      </c>
      <c r="B25" s="35">
        <f>'DCF Inputs'!B25</f>
        <v/>
      </c>
    </row>
    <row r="26">
      <c r="A26" s="32" t="inlineStr">
        <is>
          <t>Implied $/sh — EV/EBITDA (25/med/75)</t>
        </is>
      </c>
      <c r="B26" s="50">
        <f>(B22*H17+B24)/B25</f>
        <v/>
      </c>
      <c r="C26" s="50">
        <f>(B22*H16+B24)/B25</f>
        <v/>
      </c>
      <c r="D26" s="50">
        <f>(B22*H15+B24)/B25</f>
        <v/>
      </c>
    </row>
    <row r="27">
      <c r="A27" s="32" t="inlineStr">
        <is>
          <t>Implied $/sh — P/E (25/med/75)</t>
        </is>
      </c>
      <c r="B27" s="50">
        <f>B23*I17</f>
        <v/>
      </c>
      <c r="C27" s="50">
        <f>B23*I16</f>
        <v/>
      </c>
      <c r="D27" s="50">
        <f>B23*I15</f>
        <v/>
      </c>
    </row>
    <row r="29">
      <c r="A29" s="43" t="inlineStr">
        <is>
          <t>Peers as of 2026-07-17. LTM/NTM per source; NTM applied to NVDA FY2027E.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7" t="inlineStr">
        <is>
          <t>NVIDIA — Valuation Summary</t>
        </is>
      </c>
    </row>
    <row r="2">
      <c r="A2" s="2" t="inlineStr">
        <is>
          <t>Football field + weighted price target</t>
        </is>
      </c>
    </row>
    <row r="4">
      <c r="A4" s="4" t="inlineStr">
        <is>
          <t>Method</t>
        </is>
      </c>
      <c r="B4" s="4" t="inlineStr">
        <is>
          <t>Low</t>
        </is>
      </c>
      <c r="C4" s="4" t="inlineStr">
        <is>
          <t>Base</t>
        </is>
      </c>
      <c r="D4" s="4" t="inlineStr">
        <is>
          <t>High</t>
        </is>
      </c>
      <c r="E4" s="4" t="inlineStr">
        <is>
          <t>Weight</t>
        </is>
      </c>
    </row>
    <row r="5">
      <c r="A5" s="34" t="inlineStr">
        <is>
          <t>DCF (WACC 9.5-12%, g 3-4%)</t>
        </is>
      </c>
      <c r="B5" s="51" t="n">
        <v>129.41</v>
      </c>
      <c r="C5" s="51" t="n">
        <v>156.6</v>
      </c>
      <c r="D5" s="51" t="n">
        <v>209.28</v>
      </c>
      <c r="E5" s="10" t="n">
        <v>0.55</v>
      </c>
    </row>
    <row r="6">
      <c r="A6" s="34" t="inlineStr">
        <is>
          <t>Comps (EV/EBITDA &amp; P/E, NTM)</t>
        </is>
      </c>
      <c r="B6" s="51" t="n">
        <v>131.07</v>
      </c>
      <c r="C6" s="51" t="n">
        <v>270.65</v>
      </c>
      <c r="D6" s="51" t="n">
        <v>621.95</v>
      </c>
      <c r="E6" s="10" t="n">
        <v>0.45</v>
      </c>
    </row>
    <row r="8">
      <c r="A8" s="32" t="inlineStr">
        <is>
          <t>Weighted price target</t>
        </is>
      </c>
      <c r="C8" s="52" t="n">
        <v>207.92</v>
      </c>
    </row>
    <row r="9">
      <c r="A9" s="34" t="inlineStr">
        <is>
          <t>Current price</t>
        </is>
      </c>
      <c r="C9" s="51" t="n">
        <v>207.4</v>
      </c>
    </row>
    <row r="10">
      <c r="A10" s="32" t="inlineStr">
        <is>
          <t>Upside / (downside)</t>
        </is>
      </c>
      <c r="C10" s="48" t="n">
        <v>0.0025</v>
      </c>
    </row>
    <row r="11">
      <c r="A11" s="32" t="inlineStr">
        <is>
          <t>Rating</t>
        </is>
      </c>
      <c r="C11" s="53" t="inlineStr">
        <is>
          <t>HOLD</t>
        </is>
      </c>
    </row>
    <row r="13">
      <c r="A13" s="43" t="inlineStr">
        <is>
          <t>Scenario EPS (FY2031E): Bear $7.9 / Base $15.7 / Bull $22+ (see Scenarios tab).</t>
        </is>
      </c>
    </row>
    <row r="14">
      <c r="A14" s="43" t="inlineStr">
        <is>
          <t>Weighting: DCF 55% (transparent 5-yr forecast), Comps 45%. Precedent transactions N/A for a ~$5T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2026-07-17T07:41:30Z</dcterms:created>
  <dcterms:modified xsi:type="dcterms:W3CDTF">2026-07-17T07:45:09Z</dcterms:modified>
</cp:coreProperties>
</file>